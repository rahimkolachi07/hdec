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cs PM" sheetId="1" r:id="rId5"/>
    <sheet state="visible" name="Statistics CM" sheetId="2" r:id="rId6"/>
    <sheet state="visible" name="PM Tracing" sheetId="3" r:id="rId7"/>
    <sheet state="visible" name="SCB" sheetId="4" r:id="rId8"/>
    <sheet state="visible" name="Trackers" sheetId="5" r:id="rId9"/>
    <sheet state="visible" name="Inverter and MVPS" sheetId="6" r:id="rId10"/>
    <sheet state="visible" name="Strings &amp; PV Modules" sheetId="7" r:id="rId11"/>
    <sheet state="visible" name="PV Equipments Failure" sheetId="8" r:id="rId12"/>
    <sheet state="visible" name="SS Equipments failure" sheetId="9" r:id="rId13"/>
    <sheet state="visible" name="SS Observations" sheetId="10" r:id="rId14"/>
    <sheet state="visible" name="PV Observations" sheetId="11" r:id="rId15"/>
    <sheet state="visible" name="Documents" sheetId="12" r:id="rId16"/>
  </sheets>
  <definedNames>
    <definedName localSheetId="9" name="Production_Affected">#REF!</definedName>
    <definedName name="Block">#REF!</definedName>
    <definedName localSheetId="4" name="Status">#REF!</definedName>
    <definedName localSheetId="5" name="Incident_Type">#REF!</definedName>
    <definedName localSheetId="8" name="Responsible">#REF!</definedName>
    <definedName localSheetId="11" name="Inverter">#REF!</definedName>
    <definedName localSheetId="8" name="Production_Affected">#REF!</definedName>
    <definedName localSheetId="6" name="Detection">#REF!</definedName>
    <definedName localSheetId="11" name="Block">#REF!</definedName>
    <definedName localSheetId="4" name="Incident_Type">#REF!</definedName>
    <definedName localSheetId="4" name="System_Type">#REF!</definedName>
    <definedName localSheetId="9" name="System_Type">#REF!</definedName>
    <definedName localSheetId="9" name="Status">#REF!</definedName>
    <definedName localSheetId="6" name="Incident_Type">#REF!</definedName>
    <definedName localSheetId="10" name="Inverter">#REF!</definedName>
    <definedName localSheetId="11" name="System_Type">#REF!</definedName>
    <definedName localSheetId="5" name="Responsible">#REF!</definedName>
    <definedName localSheetId="9" name="Detection">#REF!</definedName>
    <definedName localSheetId="8" name="Status">#REF!</definedName>
    <definedName localSheetId="5" name="Detection">#REF!</definedName>
    <definedName localSheetId="6" name="Block">#REF!</definedName>
    <definedName localSheetId="4" name="Production_Affected">#REF!</definedName>
    <definedName localSheetId="6" name="System_Type">#REF!</definedName>
    <definedName name="Incident_Type">#REF!</definedName>
    <definedName localSheetId="4" name="Detection">#REF!</definedName>
    <definedName localSheetId="8" name="Inverter">#REF!</definedName>
    <definedName localSheetId="6" name="Status">#REF!</definedName>
    <definedName localSheetId="6" name="Inverter">#REF!</definedName>
    <definedName localSheetId="9" name="Inverter">#REF!</definedName>
    <definedName localSheetId="5" name="Block">#REF!</definedName>
    <definedName localSheetId="11" name="Incident_Type">#REF!</definedName>
    <definedName localSheetId="10" name="Incident_Type">#REF!</definedName>
    <definedName localSheetId="5" name="System_Type">#REF!</definedName>
    <definedName name="Status">#REF!</definedName>
    <definedName localSheetId="10" name="Block">#REF!</definedName>
    <definedName localSheetId="8" name="Block">#REF!</definedName>
    <definedName localSheetId="10" name="System_Type">#REF!</definedName>
    <definedName localSheetId="9" name="Block">#REF!</definedName>
    <definedName localSheetId="8" name="Incident_Type">#REF!</definedName>
    <definedName localSheetId="8" name="System_Type">#REF!</definedName>
    <definedName localSheetId="5" name="Inverter">#REF!</definedName>
    <definedName name="Inverter">#REF!</definedName>
    <definedName name="System_Type">#REF!</definedName>
    <definedName localSheetId="4" name="Responsible">#REF!</definedName>
    <definedName localSheetId="11" name="Responsible">#REF!</definedName>
    <definedName name="Production_Affected">#REF!</definedName>
    <definedName localSheetId="11" name="Detection">#REF!</definedName>
    <definedName localSheetId="5" name="Production_Affected">#REF!</definedName>
    <definedName localSheetId="6" name="Responsible">#REF!</definedName>
    <definedName localSheetId="10" name="Detection">#REF!</definedName>
    <definedName localSheetId="11" name="Production_Affected">#REF!</definedName>
    <definedName localSheetId="9" name="Responsible">#REF!</definedName>
    <definedName localSheetId="9" name="Incident_Type">#REF!</definedName>
    <definedName localSheetId="4" name="Block">#REF!</definedName>
    <definedName localSheetId="5" name="Status">#REF!</definedName>
    <definedName name="Detection">#REF!</definedName>
    <definedName localSheetId="4" name="Inverter">#REF!</definedName>
    <definedName localSheetId="8" name="Detection">#REF!</definedName>
    <definedName localSheetId="6" name="Production_Affected">#REF!</definedName>
    <definedName localSheetId="11" name="Status">#REF!</definedName>
    <definedName localSheetId="10" name="Production_Affected">#REF!</definedName>
    <definedName localSheetId="10" name="Status">#REF!</definedName>
    <definedName localSheetId="10" name="Responsible">#REF!</definedName>
    <definedName name="Responsible">#REF!</definedName>
    <definedName hidden="1" localSheetId="3" name="_xlnm._FilterDatabase">SCB!$A$4:$I$38</definedName>
    <definedName hidden="1" localSheetId="6" name="_xlnm._FilterDatabase">'Strings &amp; PV Modules'!$A$4:$I$249</definedName>
    <definedName hidden="1" localSheetId="10" name="_xlnm._FilterDatabase">'PV Observations'!$A$4:$O$173</definedName>
  </definedNames>
  <calcPr/>
</workbook>
</file>

<file path=xl/sharedStrings.xml><?xml version="1.0" encoding="utf-8"?>
<sst xmlns="http://schemas.openxmlformats.org/spreadsheetml/2006/main" count="9732" uniqueCount="1002">
  <si>
    <t>AREA</t>
  </si>
  <si>
    <t>Week 1 (1 March To 4 March)</t>
  </si>
  <si>
    <t>EQUIPMENT</t>
  </si>
  <si>
    <t>Schedule PM</t>
  </si>
  <si>
    <t>PM done</t>
  </si>
  <si>
    <t>PV</t>
  </si>
  <si>
    <t>PV INSPECTION-D</t>
  </si>
  <si>
    <t>WEATHER MONITORING STATION-D</t>
  </si>
  <si>
    <t>ARCS ROBOT OPERATION-D</t>
  </si>
  <si>
    <t>PVSS</t>
  </si>
  <si>
    <t>DAILY SUBSTATION INSPECTION-D</t>
  </si>
  <si>
    <t>SUBSTATION CLEANING-D</t>
  </si>
  <si>
    <t>POWER TRANSFORMER DGA TEST-D</t>
  </si>
  <si>
    <t>CCTV INSPECTION-D</t>
  </si>
  <si>
    <t>EDG TEST RUN-W SS</t>
  </si>
  <si>
    <t>EDG TEST RUN-W SB</t>
  </si>
  <si>
    <t>SVG COOLING UNIT DUST CLEANING-W</t>
  </si>
  <si>
    <t>WEATHER MONITORING STATION-W</t>
  </si>
  <si>
    <t>SCB'S MAINTENANCE-HY</t>
  </si>
  <si>
    <t>ARCS ROBOT MAINTENANCE-HY</t>
  </si>
  <si>
    <t>POWER STATION MAINTENANCE-HY</t>
  </si>
  <si>
    <t>WATER PUMPING SYSTEM MAINTENANCE-M</t>
  </si>
  <si>
    <t>HSE</t>
  </si>
  <si>
    <t>FIRE EXTINGUISHER INSPECTION-M</t>
  </si>
  <si>
    <t>All</t>
  </si>
  <si>
    <t>ALL FACILITY LIGHTNING AND POWER SYSTEM-M</t>
  </si>
  <si>
    <t>TOTAL</t>
  </si>
  <si>
    <t>COMPLIANCE SCORE</t>
  </si>
  <si>
    <t>PENDING</t>
  </si>
  <si>
    <t>Week 2 (05 March To 11 March)</t>
  </si>
  <si>
    <t>EMERGENCY RESPONSE KIT INSPECTION-M</t>
  </si>
  <si>
    <t>TOOLS AAND EQUIPMENT INSPECTION-M</t>
  </si>
  <si>
    <t>General</t>
  </si>
  <si>
    <t>FIRE ALARM SYSTEM INSPECTION-M</t>
  </si>
  <si>
    <t>FIRE FIGHTNING SYSTEM INSPECTION-M</t>
  </si>
  <si>
    <t>MAIN GATE AND ROAD BLOCKERS MAINTENANCE-M</t>
  </si>
  <si>
    <t>BATTERY BANK MAINTENANCE-M</t>
  </si>
  <si>
    <t>Week 3 (12 March To 18 March)</t>
  </si>
  <si>
    <t>HVAC FILTER CLEANING-M</t>
  </si>
  <si>
    <t>HVAC MAINTENANCE-Q</t>
  </si>
  <si>
    <t>POWER STATION MAINTENANCE-M</t>
  </si>
  <si>
    <t>HSE PPE INSPECTION-M</t>
  </si>
  <si>
    <t>ALL</t>
  </si>
  <si>
    <t>ASPHALT ROAD CLEANING-M</t>
  </si>
  <si>
    <t>ARCS ROBOTS CHECKING-M</t>
  </si>
  <si>
    <t>Week 4 (19 March To 25 March)</t>
  </si>
  <si>
    <t>PERIMETER FENCE MAINTENANCE-M</t>
  </si>
  <si>
    <t>PERMIMETER LIGHTNING SYSTEM MAINTENANCE-M</t>
  </si>
  <si>
    <t>Week 5 (26 March To 31 March)</t>
  </si>
  <si>
    <t>WEATHER MONITORING STATION-M</t>
  </si>
  <si>
    <t>March Month</t>
  </si>
  <si>
    <t>Schedule CM</t>
  </si>
  <si>
    <t>CM Done</t>
  </si>
  <si>
    <t>INVERTERS</t>
  </si>
  <si>
    <t>STRINGS</t>
  </si>
  <si>
    <t>TRACKERS</t>
  </si>
  <si>
    <t>COMBINER BOXES</t>
  </si>
  <si>
    <t>MV Joints</t>
  </si>
  <si>
    <t>SVG  Faulty</t>
  </si>
  <si>
    <t>WMS Communication Issue</t>
  </si>
  <si>
    <t>SST 1 Termination failure</t>
  </si>
  <si>
    <t>GT 1 Oil seepage</t>
  </si>
  <si>
    <t>SVG</t>
  </si>
  <si>
    <t xml:space="preserve">  Daily Maintenance</t>
  </si>
  <si>
    <t xml:space="preserve">Task Description </t>
  </si>
  <si>
    <t>Description</t>
  </si>
  <si>
    <t>Performed</t>
  </si>
  <si>
    <t>Checklist</t>
  </si>
  <si>
    <t>PV Inspection-D</t>
  </si>
  <si>
    <t>Done</t>
  </si>
  <si>
    <t>Weather Monitoring Station-D</t>
  </si>
  <si>
    <t>cleaning pyranometers sensors</t>
  </si>
  <si>
    <t>ARCS Robot Operation-D</t>
  </si>
  <si>
    <t>100% of the robots operation</t>
  </si>
  <si>
    <t>Daily Substation Inspection-D</t>
  </si>
  <si>
    <t xml:space="preserve">visual inspection of SS </t>
  </si>
  <si>
    <t>Substation Cleaning -D</t>
  </si>
  <si>
    <t>All the buildings + bathrooms (no need checklist )</t>
  </si>
  <si>
    <t>Power Transformer DGA Test-D</t>
  </si>
  <si>
    <t>DGA test of 6 PT</t>
  </si>
  <si>
    <t>CCTV Inspection-D</t>
  </si>
  <si>
    <t>MVPs CCTV</t>
  </si>
  <si>
    <t>Weekly Maintenance</t>
  </si>
  <si>
    <t>week 1</t>
  </si>
  <si>
    <t>week 2</t>
  </si>
  <si>
    <t>week 3</t>
  </si>
  <si>
    <t>week 4</t>
  </si>
  <si>
    <t>EDG Test Run-W SS</t>
  </si>
  <si>
    <t>test run less than 10 minuts</t>
  </si>
  <si>
    <t>2026.03.03</t>
  </si>
  <si>
    <t>2026.03.09</t>
  </si>
  <si>
    <t>EDG Test Run-W SB</t>
  </si>
  <si>
    <t>Week 1</t>
  </si>
  <si>
    <t>Week 2</t>
  </si>
  <si>
    <t>Week 3</t>
  </si>
  <si>
    <t>Week 4</t>
  </si>
  <si>
    <t>Week 5</t>
  </si>
  <si>
    <t>SVG 1</t>
  </si>
  <si>
    <t>SVG 2</t>
  </si>
  <si>
    <t>SVG 3</t>
  </si>
  <si>
    <t>SVG 4</t>
  </si>
  <si>
    <t>SVG 5</t>
  </si>
  <si>
    <t>SVG 6</t>
  </si>
  <si>
    <t>Performing Date</t>
  </si>
  <si>
    <t>SVG Cooling Unit Dust Cleaning-W</t>
  </si>
  <si>
    <t>cleaning of cooling system for 6 SVGs</t>
  </si>
  <si>
    <t>2026.03.01</t>
  </si>
  <si>
    <t>2026.03.02</t>
  </si>
  <si>
    <t>2026.03.04</t>
  </si>
  <si>
    <t>2026.03.05</t>
  </si>
  <si>
    <t>2026.03.08</t>
  </si>
  <si>
    <t>2026.03.10</t>
  </si>
  <si>
    <t>2026.03.11</t>
  </si>
  <si>
    <t>2026.03.14</t>
  </si>
  <si>
    <t>2026.03.15</t>
  </si>
  <si>
    <t>2026.03.12</t>
  </si>
  <si>
    <t>Weather Monitoring Station-W</t>
  </si>
  <si>
    <t>Cleaning of Module and Ventilation hod</t>
  </si>
  <si>
    <t xml:space="preserve"> </t>
  </si>
  <si>
    <t>Monthly Maintenance</t>
  </si>
  <si>
    <t xml:space="preserve">Maintenance Description </t>
  </si>
  <si>
    <t>Block Number</t>
  </si>
  <si>
    <t>Status</t>
  </si>
  <si>
    <t>Visual Inspection of all MVPS + RMU filter Cleaning + UPS Filter Cleaning + PD Panel filter Cleaning + Follow checklist points</t>
  </si>
  <si>
    <t>HVAC Cleaning - M</t>
  </si>
  <si>
    <t>Filter Cleaning + General Cleaning</t>
  </si>
  <si>
    <t>Unit Name</t>
  </si>
  <si>
    <t>Location</t>
  </si>
  <si>
    <t>Basement Supply fan</t>
  </si>
  <si>
    <t>Basement Exhaust fan</t>
  </si>
  <si>
    <t xml:space="preserve"> Fresh Air Supply Fan</t>
  </si>
  <si>
    <t>Exhaust Fan</t>
  </si>
  <si>
    <t>Toilets Exhaust</t>
  </si>
  <si>
    <t>Split AC</t>
  </si>
  <si>
    <t>1A</t>
  </si>
  <si>
    <t>Switchgear room</t>
  </si>
  <si>
    <t>VSF 1-01</t>
  </si>
  <si>
    <t>VEF 1-01</t>
  </si>
  <si>
    <t>WSF 1</t>
  </si>
  <si>
    <t>Hazrdous room 1</t>
  </si>
  <si>
    <t>WEF 1</t>
  </si>
  <si>
    <t>Pump Room</t>
  </si>
  <si>
    <t>O&amp;M building</t>
  </si>
  <si>
    <t>Pump room</t>
  </si>
  <si>
    <t>1B</t>
  </si>
  <si>
    <t>VSF 1-02</t>
  </si>
  <si>
    <t>VEF 1-02</t>
  </si>
  <si>
    <t>WSF 2</t>
  </si>
  <si>
    <t>Hazrdous room 2</t>
  </si>
  <si>
    <t>WEF 2</t>
  </si>
  <si>
    <t>Split AC 1</t>
  </si>
  <si>
    <t>O&amp;M Store</t>
  </si>
  <si>
    <t>2A</t>
  </si>
  <si>
    <t>Control Building</t>
  </si>
  <si>
    <t>VSF 2-01</t>
  </si>
  <si>
    <t>VEF 2-01</t>
  </si>
  <si>
    <t xml:space="preserve">WSF 1 </t>
  </si>
  <si>
    <t>Warehouse room 1</t>
  </si>
  <si>
    <t>WEF 5</t>
  </si>
  <si>
    <t>Split AC 2</t>
  </si>
  <si>
    <t>2B</t>
  </si>
  <si>
    <t>VSF 2-02</t>
  </si>
  <si>
    <t>VEF 2-02</t>
  </si>
  <si>
    <t>WEF 2-01</t>
  </si>
  <si>
    <t>Control building</t>
  </si>
  <si>
    <t>Security building</t>
  </si>
  <si>
    <t>3A</t>
  </si>
  <si>
    <t>O&amp;M Building</t>
  </si>
  <si>
    <t>WSF 3</t>
  </si>
  <si>
    <t>Warehouse room 2</t>
  </si>
  <si>
    <t>WEF 3</t>
  </si>
  <si>
    <t>3B</t>
  </si>
  <si>
    <t>WSF 4</t>
  </si>
  <si>
    <t>WEF 4</t>
  </si>
  <si>
    <t>Split AC 3</t>
  </si>
  <si>
    <t>4A</t>
  </si>
  <si>
    <t>GIS Building</t>
  </si>
  <si>
    <t>WEF 2-02</t>
  </si>
  <si>
    <t>Fire Fighting room</t>
  </si>
  <si>
    <t>Split AC 4</t>
  </si>
  <si>
    <t>4B</t>
  </si>
  <si>
    <t>Split AC 5</t>
  </si>
  <si>
    <t>Split AC 6</t>
  </si>
  <si>
    <t>Split AC 7</t>
  </si>
  <si>
    <t>Split AC 8</t>
  </si>
  <si>
    <t>Split AC 9</t>
  </si>
  <si>
    <t>Split AC 10</t>
  </si>
  <si>
    <t>Date (xxxx)</t>
  </si>
  <si>
    <t>Weather Monitoring Station-M</t>
  </si>
  <si>
    <t>Cleaining the sensors + Fans + dust IQ</t>
  </si>
  <si>
    <t>Perimeter fence Maintenance -M</t>
  </si>
  <si>
    <t xml:space="preserve">General Inspection </t>
  </si>
  <si>
    <t>Asphalt Road Cleaning-M</t>
  </si>
  <si>
    <t>Main gate to substation and substation Road</t>
  </si>
  <si>
    <t>Battery Bank Maintenance-M</t>
  </si>
  <si>
    <t>General Inspection + Cleaning</t>
  </si>
  <si>
    <t>2026.03.07</t>
  </si>
  <si>
    <t>ARCS Robot Checking-M</t>
  </si>
  <si>
    <t>From SCADA</t>
  </si>
  <si>
    <t>Perimeter Lightning System Maintenance-M</t>
  </si>
  <si>
    <t>Check visually all lights for any damage or faulty</t>
  </si>
  <si>
    <t>HSE PPE Inspection-M</t>
  </si>
  <si>
    <t>All PPE's inspect and give colour code</t>
  </si>
  <si>
    <t>Emergency response kit Inspection-M</t>
  </si>
  <si>
    <t>Walkie-Talkie, First aid kit, Electrical Rescue kit</t>
  </si>
  <si>
    <t>Tools and Equipment Inspection-M</t>
  </si>
  <si>
    <t>All tools and equipment inspection and colour coding</t>
  </si>
  <si>
    <t>Fire Extinguisher Inspection-M</t>
  </si>
  <si>
    <t>All SS and MVPS fire extinguishers</t>
  </si>
  <si>
    <t>Fire Alarm system Inspection-M</t>
  </si>
  <si>
    <t>All SS Fire panel and DB's Inspection</t>
  </si>
  <si>
    <t>Fire Fightning System Inspection-M</t>
  </si>
  <si>
    <t>All fire fightning pumps inspection</t>
  </si>
  <si>
    <t>Main gate and Road Blocker Maintenance-M</t>
  </si>
  <si>
    <t>Cleaning + Checking if any issue</t>
  </si>
  <si>
    <t>Water Pumping System Maintenance-M</t>
  </si>
  <si>
    <t>Cleaning + Checking + Running</t>
  </si>
  <si>
    <t>Warehouse Building</t>
  </si>
  <si>
    <t>Date</t>
  </si>
  <si>
    <t>All Facility Lightning and Power System-M</t>
  </si>
  <si>
    <t>Checking and Rectification if any faulty</t>
  </si>
  <si>
    <t>Substation Indoor Lightning</t>
  </si>
  <si>
    <t>POWER STATION AND SCB MAINTENANCE-HY</t>
  </si>
  <si>
    <t>Checking + Cleaning + Tightning of screws and cables + Follow checklist</t>
  </si>
  <si>
    <t>2026.02.19</t>
  </si>
  <si>
    <t>2026.01.30</t>
  </si>
  <si>
    <t>2026.01.14</t>
  </si>
  <si>
    <t>2026.02.07</t>
  </si>
  <si>
    <t>2026.01.18</t>
  </si>
  <si>
    <t>2026.02.02</t>
  </si>
  <si>
    <t>2026.01.29</t>
  </si>
  <si>
    <t>2026.02.13</t>
  </si>
  <si>
    <t>2026.02.24</t>
  </si>
  <si>
    <t>2026.01.22</t>
  </si>
  <si>
    <t>2026.02.06</t>
  </si>
  <si>
    <t>2026.02.22</t>
  </si>
  <si>
    <t>2026.02.14</t>
  </si>
  <si>
    <t>2026.02.08</t>
  </si>
  <si>
    <t>2026.02.01</t>
  </si>
  <si>
    <t>2026.01.26</t>
  </si>
  <si>
    <t>2026.02.03</t>
  </si>
  <si>
    <t>2026.02.17</t>
  </si>
  <si>
    <t>2026.02.27</t>
  </si>
  <si>
    <t>2026.01.15</t>
  </si>
  <si>
    <t>2026.02.15</t>
  </si>
  <si>
    <t>2026.02.09</t>
  </si>
  <si>
    <t>2026.01.19</t>
  </si>
  <si>
    <t>2026.01.17</t>
  </si>
  <si>
    <t>2026.01.31</t>
  </si>
  <si>
    <t>2026.01.25</t>
  </si>
  <si>
    <t>2026.02.23</t>
  </si>
  <si>
    <t>2026.02.20</t>
  </si>
  <si>
    <t>2026.02.04</t>
  </si>
  <si>
    <t>2026.01.27</t>
  </si>
  <si>
    <t>DOne</t>
  </si>
  <si>
    <t>2026.03.13</t>
  </si>
  <si>
    <t>2026.02.28</t>
  </si>
  <si>
    <t>2026.02.25</t>
  </si>
  <si>
    <t>2026.02.26</t>
  </si>
  <si>
    <t>2026.01.28</t>
  </si>
  <si>
    <t>2026.02.12</t>
  </si>
  <si>
    <t>2026.02.10</t>
  </si>
  <si>
    <t>2026.02.16</t>
  </si>
  <si>
    <t>2026.02.18</t>
  </si>
  <si>
    <t>2026.02.11</t>
  </si>
  <si>
    <t>2026.01.16</t>
  </si>
  <si>
    <t>2026.02.21</t>
  </si>
  <si>
    <t>2026.01.20</t>
  </si>
  <si>
    <t>2026.01.21</t>
  </si>
  <si>
    <t>2026.01.23</t>
  </si>
  <si>
    <t>2026.01.13</t>
  </si>
  <si>
    <t>ARCS ROBOT BOX-HY</t>
  </si>
  <si>
    <t>Cleaning brushes + Cleaning module + Follow Checklist</t>
  </si>
  <si>
    <t>Robots</t>
  </si>
  <si>
    <t>HVAC Maintenance-Q</t>
  </si>
  <si>
    <t>Cleaning of Filter+ Wire tightness checking+Gas checking+Follow checklist</t>
  </si>
  <si>
    <t>PACU 1A</t>
  </si>
  <si>
    <t>PACU 1B</t>
  </si>
  <si>
    <t>PACU 2A</t>
  </si>
  <si>
    <t>PACU 2B</t>
  </si>
  <si>
    <t>PACU 3A</t>
  </si>
  <si>
    <t>PACU 3B</t>
  </si>
  <si>
    <t>PACU 4A</t>
  </si>
  <si>
    <t>PACU 4B</t>
  </si>
  <si>
    <t>Total</t>
  </si>
  <si>
    <t>Rectified</t>
  </si>
  <si>
    <t>Pending</t>
  </si>
  <si>
    <t>S. No</t>
  </si>
  <si>
    <t>BLOCK</t>
  </si>
  <si>
    <t>SCB No</t>
  </si>
  <si>
    <t>SCB Aalrm</t>
  </si>
  <si>
    <t>Action Taken</t>
  </si>
  <si>
    <t>Rectification Date</t>
  </si>
  <si>
    <t>Remarks</t>
  </si>
  <si>
    <t>Outaged</t>
  </si>
  <si>
    <t>SCB ON</t>
  </si>
  <si>
    <t>Fuse buckets replaced</t>
  </si>
  <si>
    <t xml:space="preserve">on Site ok but Communication issue </t>
  </si>
  <si>
    <t>LV Cable termination replaced</t>
  </si>
  <si>
    <t>On Field found OK</t>
  </si>
  <si>
    <t>SCB Burn</t>
  </si>
  <si>
    <t>Replaced disconnector switch</t>
  </si>
  <si>
    <t>Turn ON SCB</t>
  </si>
  <si>
    <t>SCB Positive cable burn</t>
  </si>
  <si>
    <t>SCB Lugs changed</t>
  </si>
  <si>
    <t>TRACKER No</t>
  </si>
  <si>
    <t>Tracker alarm</t>
  </si>
  <si>
    <t>Rectification date</t>
  </si>
  <si>
    <t>Stop</t>
  </si>
  <si>
    <t>Reset the tracker</t>
  </si>
  <si>
    <t>MotorOverCur</t>
  </si>
  <si>
    <t>Emergency Stop</t>
  </si>
  <si>
    <t>Emergency Released</t>
  </si>
  <si>
    <t>MotorReversal</t>
  </si>
  <si>
    <t>Replaced</t>
  </si>
  <si>
    <t>transmission shaft damage</t>
  </si>
  <si>
    <t>No Communication</t>
  </si>
  <si>
    <t>Set to Auto mode</t>
  </si>
  <si>
    <t>T connector replaced</t>
  </si>
  <si>
    <t>Dc power issue</t>
  </si>
  <si>
    <t>Emergency released</t>
  </si>
  <si>
    <t>DC power issue</t>
  </si>
  <si>
    <t>EmergencyStop</t>
  </si>
  <si>
    <t>no communication</t>
  </si>
  <si>
    <t>Reset the Tracker</t>
  </si>
  <si>
    <t>reset the tracker</t>
  </si>
  <si>
    <t>Y Connector replaced</t>
  </si>
  <si>
    <t>DC Power Issue</t>
  </si>
  <si>
    <t>Resolved</t>
  </si>
  <si>
    <t>emergency released</t>
  </si>
  <si>
    <t>Transmission shaft replaced</t>
  </si>
  <si>
    <t>Issue from SCADA. Resolved</t>
  </si>
  <si>
    <t>Gaskit missing</t>
  </si>
  <si>
    <t>Transmission shaft damage</t>
  </si>
  <si>
    <t>stop</t>
  </si>
  <si>
    <t>AngleNoChg</t>
  </si>
  <si>
    <t>AngleNoCom</t>
  </si>
  <si>
    <t>BatSOCLow</t>
  </si>
  <si>
    <t>Angle no change</t>
  </si>
  <si>
    <t>Gaskit Installed</t>
  </si>
  <si>
    <t>Alignment issue</t>
  </si>
  <si>
    <t>Cable connected</t>
  </si>
  <si>
    <t xml:space="preserve">Battery Error </t>
  </si>
  <si>
    <t>emergency stop</t>
  </si>
  <si>
    <t>anglenochange</t>
  </si>
  <si>
    <t>Module Damage</t>
  </si>
  <si>
    <t>MotoroverCurrent</t>
  </si>
  <si>
    <t>STOP</t>
  </si>
  <si>
    <t>Bolt Installed</t>
  </si>
  <si>
    <t>Bolt missing</t>
  </si>
  <si>
    <t>burent firmwear with stlink</t>
  </si>
  <si>
    <t>set to clean mode</t>
  </si>
  <si>
    <t>set to cleane mode</t>
  </si>
  <si>
    <t>Emergency release</t>
  </si>
  <si>
    <t>Reset channel ID</t>
  </si>
  <si>
    <t>motorovercur</t>
  </si>
  <si>
    <t>Burnt firmware with st link</t>
  </si>
  <si>
    <t>lowpower</t>
  </si>
  <si>
    <t>nocommunication</t>
  </si>
  <si>
    <t>no-communication</t>
  </si>
  <si>
    <t>STOPMODE</t>
  </si>
  <si>
    <t>set to auto mode</t>
  </si>
  <si>
    <t>cable connected</t>
  </si>
  <si>
    <t>motorreversal</t>
  </si>
  <si>
    <t>motorovercurrent</t>
  </si>
  <si>
    <t>batterylow</t>
  </si>
  <si>
    <t>lowbattery</t>
  </si>
  <si>
    <t>nocommuniucation</t>
  </si>
  <si>
    <t>motoovercurrent</t>
  </si>
  <si>
    <t>Reset the tacker</t>
  </si>
  <si>
    <t>BatError</t>
  </si>
  <si>
    <t>Set to auto</t>
  </si>
  <si>
    <t>Set to auto mode</t>
  </si>
  <si>
    <t>Found Ok on field</t>
  </si>
  <si>
    <t>Tracker found ok</t>
  </si>
  <si>
    <t>Motor Drive fail / Transmission shaft damage</t>
  </si>
  <si>
    <t>Tracker found ok on field</t>
  </si>
  <si>
    <t>DC Power issue</t>
  </si>
  <si>
    <t>Slew driver failure</t>
  </si>
  <si>
    <t>Reset the tracketr</t>
  </si>
  <si>
    <t>Transmisison shaft damage</t>
  </si>
  <si>
    <t>Installed</t>
  </si>
  <si>
    <t>Gasket missing</t>
  </si>
  <si>
    <t>Slew drive failure</t>
  </si>
  <si>
    <t>Alignment Issue</t>
  </si>
  <si>
    <t>Allignment issue</t>
  </si>
  <si>
    <t>Transmission shaft damagae</t>
  </si>
  <si>
    <t>Gasket Missing</t>
  </si>
  <si>
    <t>TT Bearing damage</t>
  </si>
  <si>
    <t>Transmission Shaft Twisted</t>
  </si>
  <si>
    <t>Gaskit Missing</t>
  </si>
  <si>
    <t>TT bearing damage</t>
  </si>
  <si>
    <t>Pile Damage</t>
  </si>
  <si>
    <t>Transmision shaft damage</t>
  </si>
  <si>
    <t>Bearing Need to be Changed</t>
  </si>
  <si>
    <t>Replcaed</t>
  </si>
  <si>
    <t>Bearing damage</t>
  </si>
  <si>
    <t>Bearing need to be Changed</t>
  </si>
  <si>
    <t>Drive fail</t>
  </si>
  <si>
    <t>Transmission shaft damaged</t>
  </si>
  <si>
    <t>TRansmission shaft damaged</t>
  </si>
  <si>
    <t>Reset Tracker</t>
  </si>
  <si>
    <t>Transmission Shaft damaged</t>
  </si>
  <si>
    <t>Block No</t>
  </si>
  <si>
    <t>Module No</t>
  </si>
  <si>
    <t>Inverter No</t>
  </si>
  <si>
    <t>Issue</t>
  </si>
  <si>
    <t>GFDI ground fault</t>
  </si>
  <si>
    <t>1. SCB-32, Sting-11, MC4 melt
2. Fuse replced and rectified the fault</t>
  </si>
  <si>
    <t>1. Stop due to GFDI at SCB-3
2. Fuse replced and rectified the fault</t>
  </si>
  <si>
    <t>1. Stop due to GFDI at SCB-31
2. Fuse replced and rectified the fault</t>
  </si>
  <si>
    <t>1. Power settting
2.  Fuse replced and rectified the fault</t>
  </si>
  <si>
    <t>1. Stop due to GFDI at inv-6
2. Fuse replced and rectified the fault</t>
  </si>
  <si>
    <t>5,6,7,8</t>
  </si>
  <si>
    <t>Stop state, Not working</t>
  </si>
  <si>
    <t>1. Reset the Inverter and running</t>
  </si>
  <si>
    <t>1. Stop due to GFDI at SCB-28
2. Fuse replced and rectified the fault</t>
  </si>
  <si>
    <t>Control supply fault</t>
  </si>
  <si>
    <t>1. PW board replaced</t>
  </si>
  <si>
    <t>DC switch 1, NOT Working</t>
  </si>
  <si>
    <t>1. IGBT driver board replaced</t>
  </si>
  <si>
    <t>Communication Issue</t>
  </si>
  <si>
    <t>No fault found. Reset Board</t>
  </si>
  <si>
    <t>Reactor Over Temperature</t>
  </si>
  <si>
    <t>Fuse and resistor replaced</t>
  </si>
  <si>
    <t>Resistor Replaced</t>
  </si>
  <si>
    <t>2,3,4</t>
  </si>
  <si>
    <t>Access Control protection</t>
  </si>
  <si>
    <t>AC Side fuse cable changed</t>
  </si>
  <si>
    <t>Sync Fault</t>
  </si>
  <si>
    <t>Rebot inverter</t>
  </si>
  <si>
    <t>SCB replaced. Fuse and Resistor Replaced</t>
  </si>
  <si>
    <t>Low Insulation resistance</t>
  </si>
  <si>
    <t>3,4,5</t>
  </si>
  <si>
    <t>No fault found. Fuse Replaced</t>
  </si>
  <si>
    <t>Parallel Machine Communication Fault</t>
  </si>
  <si>
    <t>PE board Replaced</t>
  </si>
  <si>
    <t>String 1 SCB 13 MC4 Melt. Fuse also replaced. Rectified</t>
  </si>
  <si>
    <t>Control supply abnormal</t>
  </si>
  <si>
    <t>Tighten PW1 board cables</t>
  </si>
  <si>
    <t>AC Current Imbalance</t>
  </si>
  <si>
    <t>WT show high temperature</t>
  </si>
  <si>
    <t>Adjust Winding Temperature Indicator</t>
  </si>
  <si>
    <t>PD Board Replaced</t>
  </si>
  <si>
    <t>SCU Board Wiring tightness</t>
  </si>
  <si>
    <t>Device connection issue</t>
  </si>
  <si>
    <t>Cable lug termination rectify</t>
  </si>
  <si>
    <t>ETAP Controller Changed</t>
  </si>
  <si>
    <t>SCU Board Software Update</t>
  </si>
  <si>
    <t>Power Cable Tighten</t>
  </si>
  <si>
    <t>SCU Board Replaced</t>
  </si>
  <si>
    <t>Communication Power Cable Tighten</t>
  </si>
  <si>
    <t>IO-DSP Supply Issue</t>
  </si>
  <si>
    <t>Off Grid</t>
  </si>
  <si>
    <t>Due to Communication Issue</t>
  </si>
  <si>
    <t>IO Board Communication Error</t>
  </si>
  <si>
    <t>Wiring termination changed at UPS Side</t>
  </si>
  <si>
    <t>Termination Crimping rectified</t>
  </si>
  <si>
    <t>Abnormal derating of axial fan flow</t>
  </si>
  <si>
    <t>Fan 4 Replaced</t>
  </si>
  <si>
    <t>2,4</t>
  </si>
  <si>
    <t>No issue found. Reset Inverter</t>
  </si>
  <si>
    <t>PMD IO Board Comm Error</t>
  </si>
  <si>
    <t>Cable tightness done at UPS end</t>
  </si>
  <si>
    <t xml:space="preserve">Shutdown </t>
  </si>
  <si>
    <t xml:space="preserve">Cable replaced near AI box </t>
  </si>
  <si>
    <t>7,8</t>
  </si>
  <si>
    <t>SCB 33 String 16 faulty. Rectified</t>
  </si>
  <si>
    <t>Standby</t>
  </si>
  <si>
    <t>DC Breaker switch in manual mode</t>
  </si>
  <si>
    <t>Off grid inverter due to loop 3 communication</t>
  </si>
  <si>
    <t>6,8</t>
  </si>
  <si>
    <t>2,3</t>
  </si>
  <si>
    <t>6,5,4,</t>
  </si>
  <si>
    <t xml:space="preserve">DC OVER current </t>
  </si>
  <si>
    <t>Reset</t>
  </si>
  <si>
    <t>1A Fuse replaced</t>
  </si>
  <si>
    <t xml:space="preserve">DAS reset </t>
  </si>
  <si>
    <t>Communication Interphase issue</t>
  </si>
  <si>
    <t>Replaced new Interphase</t>
  </si>
  <si>
    <t>DC Overvoltage</t>
  </si>
  <si>
    <t>AC overvoltage</t>
  </si>
  <si>
    <t>Initial Standby</t>
  </si>
  <si>
    <t xml:space="preserve">Reset </t>
  </si>
  <si>
    <t>GFDI</t>
  </si>
  <si>
    <t>SCB 10 ISOLATED</t>
  </si>
  <si>
    <t>SCB 4 ISOLATED</t>
  </si>
  <si>
    <t>SCB 6 ISOLATED</t>
  </si>
  <si>
    <t>BOTH</t>
  </si>
  <si>
    <t>VCB INTERLOCKING</t>
  </si>
  <si>
    <t>rectified Earthing interlock</t>
  </si>
  <si>
    <t>RESET</t>
  </si>
  <si>
    <t>LOOP 7 COMMUNICATION</t>
  </si>
  <si>
    <t>OFFGRID</t>
  </si>
  <si>
    <t>idle</t>
  </si>
  <si>
    <t>UPS TURNED ON</t>
  </si>
  <si>
    <t>DC OV</t>
  </si>
  <si>
    <t>QS2 OFF</t>
  </si>
  <si>
    <t>STARTUP DELAY</t>
  </si>
  <si>
    <t>ENERGIZATION DELAY</t>
  </si>
  <si>
    <t>UPS RESTART TO UPDATE DS STATUS</t>
  </si>
  <si>
    <t>7,3,4</t>
  </si>
  <si>
    <t>2,3,7,8</t>
  </si>
  <si>
    <t>SCB 17 ISOLATED , TRACKER 33 DAMAGED</t>
  </si>
  <si>
    <t>UPS DRAIN</t>
  </si>
  <si>
    <t xml:space="preserve">PD card CHANGED </t>
  </si>
  <si>
    <t>SCB 23 STRING 5 ISOLATED</t>
  </si>
  <si>
    <t>GFDI fault</t>
  </si>
  <si>
    <t>Faulty string rectified</t>
  </si>
  <si>
    <t>BAY 1</t>
  </si>
  <si>
    <t xml:space="preserve">RESET </t>
  </si>
  <si>
    <t>BAY 3</t>
  </si>
  <si>
    <t xml:space="preserve">SCB 15 STRING 06 ISOLATED </t>
  </si>
  <si>
    <t>SCB 23 STRING 1 ISOLATED</t>
  </si>
  <si>
    <t>24h Insulation fault</t>
  </si>
  <si>
    <t>SCB08 String 13-16</t>
  </si>
  <si>
    <t xml:space="preserve">GFDI </t>
  </si>
  <si>
    <t>SCB03 SCB 23 STRING 1 ISOLATED</t>
  </si>
  <si>
    <t xml:space="preserve">AC Under voltage </t>
  </si>
  <si>
    <t>Reset the Inverter</t>
  </si>
  <si>
    <t>24H insulation</t>
  </si>
  <si>
    <t xml:space="preserve">SCB 08 Strings 04 isolated - Red wire </t>
  </si>
  <si>
    <t xml:space="preserve">SCB16 String 11 </t>
  </si>
  <si>
    <t>Auto reset</t>
  </si>
  <si>
    <t xml:space="preserve">scb 10, String 3 Isolated </t>
  </si>
  <si>
    <t>3,4,5,6,7,8</t>
  </si>
  <si>
    <t>Ac switch Disconnection Fault</t>
  </si>
  <si>
    <t>rectified using Castle Key</t>
  </si>
  <si>
    <t xml:space="preserve">SCB 19  string 13, 14, 15, 16 are  isolated </t>
  </si>
  <si>
    <t>Press to shutdown</t>
  </si>
  <si>
    <t>Change active power setting and give Rebot command</t>
  </si>
  <si>
    <t>module Fault. IGBT Board faulty</t>
  </si>
  <si>
    <t>Replaced with new module</t>
  </si>
  <si>
    <t>DCB 14 String 1 isolated. Inverter Reset</t>
  </si>
  <si>
    <t>Module Fault</t>
  </si>
  <si>
    <t>Drive board replaced</t>
  </si>
  <si>
    <t>GFDI Fault</t>
  </si>
  <si>
    <t>SCB 3 String 1 isolated. Resistor replaced</t>
  </si>
  <si>
    <t>IGBT Replaced</t>
  </si>
  <si>
    <t>DC over voltage</t>
  </si>
  <si>
    <t>INV-01</t>
  </si>
  <si>
    <t>Parallel machine communication fault</t>
  </si>
  <si>
    <t>The O&amp;M team performed a hard reset, and the module came back online.</t>
  </si>
  <si>
    <t>Control Power Supply abnormal</t>
  </si>
  <si>
    <t>Block</t>
  </si>
  <si>
    <t>INV01 &amp; INV02</t>
  </si>
  <si>
    <t>DC overvoltage</t>
  </si>
  <si>
    <t>M-5,7</t>
  </si>
  <si>
    <t>INV-02</t>
  </si>
  <si>
    <t>M-1,2</t>
  </si>
  <si>
    <t>M-2</t>
  </si>
  <si>
    <t>GFDI Protection</t>
  </si>
  <si>
    <t xml:space="preserve">Inv 1 module 2 resistor and fuse replaced and inverter normalised. </t>
  </si>
  <si>
    <t>24 h insulation fault</t>
  </si>
  <si>
    <t>The O&amp;M team performed a hard reset, and the inverter came back online.</t>
  </si>
  <si>
    <t>Module-5</t>
  </si>
  <si>
    <t>Access protection fault</t>
  </si>
  <si>
    <t>String No</t>
  </si>
  <si>
    <t>21-11-2025</t>
  </si>
  <si>
    <t xml:space="preserve">MC4 change </t>
  </si>
  <si>
    <t>25-11-2025</t>
  </si>
  <si>
    <t xml:space="preserve">Done </t>
  </si>
  <si>
    <t>27-11-25</t>
  </si>
  <si>
    <t xml:space="preserve">module damage </t>
  </si>
  <si>
    <t>24-11-2025</t>
  </si>
  <si>
    <t>26-11-25</t>
  </si>
  <si>
    <t>Fuse replaced</t>
  </si>
  <si>
    <t>26-11-2025</t>
  </si>
  <si>
    <t xml:space="preserve">Wrong module Installed </t>
  </si>
  <si>
    <t>change module direction</t>
  </si>
  <si>
    <t>30-11-25</t>
  </si>
  <si>
    <t xml:space="preserve">change module </t>
  </si>
  <si>
    <t xml:space="preserve">Module damage </t>
  </si>
  <si>
    <t>29-11-25</t>
  </si>
  <si>
    <t>22-11-2025</t>
  </si>
  <si>
    <t>23-11-2025</t>
  </si>
  <si>
    <t>Tracker issue rectifiy</t>
  </si>
  <si>
    <t xml:space="preserve">Tracker issue </t>
  </si>
  <si>
    <t>wrong module installed</t>
  </si>
  <si>
    <t xml:space="preserve"> module have low voltage </t>
  </si>
  <si>
    <t>module change</t>
  </si>
  <si>
    <t>28-11-25</t>
  </si>
  <si>
    <t>27-11-2025</t>
  </si>
  <si>
    <t>28-11-2025</t>
  </si>
  <si>
    <t>29-11-2025</t>
  </si>
  <si>
    <t>replaced</t>
  </si>
  <si>
    <t>30-11-2025</t>
  </si>
  <si>
    <t>Change module</t>
  </si>
  <si>
    <t>string voltage ok and in progress</t>
  </si>
  <si>
    <t>11 modules have low voltage in one  string</t>
  </si>
  <si>
    <t>MC4 Change</t>
  </si>
  <si>
    <t>MC4 open/ Close MC4</t>
  </si>
  <si>
    <t>MC4 close</t>
  </si>
  <si>
    <t xml:space="preserve">Module change </t>
  </si>
  <si>
    <t>18-12-2025</t>
  </si>
  <si>
    <t xml:space="preserve">Module Damage </t>
  </si>
  <si>
    <t>MC4 Close</t>
  </si>
  <si>
    <t xml:space="preserve">module direction change </t>
  </si>
  <si>
    <t>13-12-2025</t>
  </si>
  <si>
    <t xml:space="preserve">MC4 close </t>
  </si>
  <si>
    <t>module  damage</t>
  </si>
  <si>
    <t>in progress</t>
  </si>
  <si>
    <t>MC4 change</t>
  </si>
  <si>
    <t>fuse fixed</t>
  </si>
  <si>
    <t xml:space="preserve">Modules change </t>
  </si>
  <si>
    <t>14-12-2025</t>
  </si>
  <si>
    <t>7 Module are low voltage</t>
  </si>
  <si>
    <t xml:space="preserve">module change </t>
  </si>
  <si>
    <t>14-12-20250</t>
  </si>
  <si>
    <t>change wire</t>
  </si>
  <si>
    <t>29-12-2025</t>
  </si>
  <si>
    <t>Wire issue</t>
  </si>
  <si>
    <t xml:space="preserve">On site ok </t>
  </si>
  <si>
    <t>23-12-2025</t>
  </si>
  <si>
    <t>5 Module are low voltage</t>
  </si>
  <si>
    <t xml:space="preserve">change pv module </t>
  </si>
  <si>
    <t>17-12-2025</t>
  </si>
  <si>
    <t>15-12-2025</t>
  </si>
  <si>
    <t>change MC4</t>
  </si>
  <si>
    <t>16-12-2025</t>
  </si>
  <si>
    <t>Change wrie</t>
  </si>
  <si>
    <t>Module Replaced</t>
  </si>
  <si>
    <t>module issue</t>
  </si>
  <si>
    <t>Change MC4</t>
  </si>
  <si>
    <t>19-12-2025</t>
  </si>
  <si>
    <t>String-5</t>
  </si>
  <si>
    <t>on filed ok</t>
  </si>
  <si>
    <t>String-1</t>
  </si>
  <si>
    <t>String-3</t>
  </si>
  <si>
    <t>String-7</t>
  </si>
  <si>
    <t>String-2</t>
  </si>
  <si>
    <t>20-12-2025</t>
  </si>
  <si>
    <t>20-12-205</t>
  </si>
  <si>
    <t>22-12-2025</t>
  </si>
  <si>
    <t>modules no recitiy</t>
  </si>
  <si>
    <t>28 panels</t>
  </si>
  <si>
    <t>30 panels</t>
  </si>
  <si>
    <t>on field ok</t>
  </si>
  <si>
    <t xml:space="preserve">Low voltage 3 module Low voltage: </t>
  </si>
  <si>
    <t>Low voltage :2 module Low voltage</t>
  </si>
  <si>
    <t>on SCADA ok</t>
  </si>
  <si>
    <t xml:space="preserve">on SCADA ok </t>
  </si>
  <si>
    <t>25-12-2025</t>
  </si>
  <si>
    <t>Modules issue</t>
  </si>
  <si>
    <t>27-12-25</t>
  </si>
  <si>
    <t>one module low voltage</t>
  </si>
  <si>
    <t>control box GFDI recitify</t>
  </si>
  <si>
    <t>24-12-2025</t>
  </si>
  <si>
    <t>26-12-2025</t>
  </si>
  <si>
    <t>Change Module</t>
  </si>
  <si>
    <t>30-12-2025</t>
  </si>
  <si>
    <t>low current due tracker issue</t>
  </si>
  <si>
    <t xml:space="preserve">Module MC4 connected </t>
  </si>
  <si>
    <t xml:space="preserve">Isolated </t>
  </si>
  <si>
    <t xml:space="preserve">Ground Fault </t>
  </si>
  <si>
    <t>MC4 Loose</t>
  </si>
  <si>
    <t>Found OK on site</t>
  </si>
  <si>
    <t>module damage</t>
  </si>
  <si>
    <t>MC4 damage</t>
  </si>
  <si>
    <t>Show zero on SCADA</t>
  </si>
  <si>
    <t>ON field Found OK</t>
  </si>
  <si>
    <t>MC4 Damage</t>
  </si>
  <si>
    <t>2 Module have less voltage</t>
  </si>
  <si>
    <t>4 Modules have less voltage</t>
  </si>
  <si>
    <t>Insulation damage</t>
  </si>
  <si>
    <t>String damage</t>
  </si>
  <si>
    <t>Cable Change</t>
  </si>
  <si>
    <t>Tracker issue. Resolved</t>
  </si>
  <si>
    <t>MC4 found open. Close the MC4</t>
  </si>
  <si>
    <t>MC4 replaced</t>
  </si>
  <si>
    <t>Module damage</t>
  </si>
  <si>
    <t>Three modules found faulty</t>
  </si>
  <si>
    <t>Three modules found faulty,Low power</t>
  </si>
  <si>
    <t>ON Site Rectification</t>
  </si>
  <si>
    <t>S.No</t>
  </si>
  <si>
    <t>Equipment</t>
  </si>
  <si>
    <t>Generation Affected</t>
  </si>
  <si>
    <t>Done By</t>
  </si>
  <si>
    <t>Spare Used</t>
  </si>
  <si>
    <t>Old Serial Number</t>
  </si>
  <si>
    <t>New Serial Number</t>
  </si>
  <si>
    <t>MVPS</t>
  </si>
  <si>
    <t>No</t>
  </si>
  <si>
    <t>UPS Supply faulty</t>
  </si>
  <si>
    <t>Replace UPS connector</t>
  </si>
  <si>
    <t>O&amp;M</t>
  </si>
  <si>
    <t>Winding temperature value not coming accurate on SCADA</t>
  </si>
  <si>
    <t>Winding temperature board replaced</t>
  </si>
  <si>
    <t>Yes</t>
  </si>
  <si>
    <t>R Phase Surge arrestor faulty</t>
  </si>
  <si>
    <t>SPD Boot replaced</t>
  </si>
  <si>
    <t>EPC/O&amp;M</t>
  </si>
  <si>
    <t>PV 63</t>
  </si>
  <si>
    <t>Cable</t>
  </si>
  <si>
    <t>Joint failure</t>
  </si>
  <si>
    <t>Replaced Joint</t>
  </si>
  <si>
    <t>Circuit breaker Closing coil not working</t>
  </si>
  <si>
    <t>VCB Rectifier diode replaced</t>
  </si>
  <si>
    <t>SG/O&amp;M</t>
  </si>
  <si>
    <t>PV 35</t>
  </si>
  <si>
    <t>Inverter</t>
  </si>
  <si>
    <t>Inverter 2 Module 1 fan faulty</t>
  </si>
  <si>
    <t>Replaced new fan</t>
  </si>
  <si>
    <t>AF185E3-075-000</t>
  </si>
  <si>
    <t>NO</t>
  </si>
  <si>
    <t>Minor oil Seepage</t>
  </si>
  <si>
    <t>Replace gaskit</t>
  </si>
  <si>
    <t>WMS</t>
  </si>
  <si>
    <t>All sensor fan running continously</t>
  </si>
  <si>
    <t>Put fan to auto mode</t>
  </si>
  <si>
    <t>Calibrated</t>
  </si>
  <si>
    <t>Module 2 Spoiler fan faulty</t>
  </si>
  <si>
    <t>820000039_ES000202_241202_2484</t>
  </si>
  <si>
    <t>8200000339_ES000202_231129_1458</t>
  </si>
  <si>
    <t>Transformer</t>
  </si>
  <si>
    <t>Winding temperature 1 faulty</t>
  </si>
  <si>
    <t>LD2408206093</t>
  </si>
  <si>
    <t>LD2502201349</t>
  </si>
  <si>
    <t>PV 07(112)</t>
  </si>
  <si>
    <t>Joint 1 Yellow phase faulty</t>
  </si>
  <si>
    <t>Inverter 1 Module 4 AC Breaker misaligned</t>
  </si>
  <si>
    <t>Rectified the breaker</t>
  </si>
  <si>
    <t>PV 11(113)</t>
  </si>
  <si>
    <t>Joint 1 Blue phase faulty</t>
  </si>
  <si>
    <t>PV 23(84)</t>
  </si>
  <si>
    <t>PV 59 (55)</t>
  </si>
  <si>
    <t>Joint 4 Yellow phase faulty</t>
  </si>
  <si>
    <t>PV 58 (107)</t>
  </si>
  <si>
    <t>Blue phase J3 has fault</t>
  </si>
  <si>
    <t>Replaced the joint</t>
  </si>
  <si>
    <t>PV 15 (89)</t>
  </si>
  <si>
    <t>Blue phase J2 Failure</t>
  </si>
  <si>
    <t>CG1 Yellow phase Boot damage</t>
  </si>
  <si>
    <t>Replaced the boot</t>
  </si>
  <si>
    <t>PV 39 (59)</t>
  </si>
  <si>
    <t>R phase J1 has fault</t>
  </si>
  <si>
    <t>PV 41 (108)</t>
  </si>
  <si>
    <t>R phase J3 has fault</t>
  </si>
  <si>
    <t>PV 46 (60)</t>
  </si>
  <si>
    <t>Yellow phase joint 2 faulty</t>
  </si>
  <si>
    <t>Blue Phse Joint 2 faulty</t>
  </si>
  <si>
    <t>PV 66 (83)</t>
  </si>
  <si>
    <t>Red phase Joint 2 faulty</t>
  </si>
  <si>
    <t>PV 33 (111)</t>
  </si>
  <si>
    <t>PV 60 (78)</t>
  </si>
  <si>
    <t>Blue phase joint 4 faulty</t>
  </si>
  <si>
    <t>Joint 1 faulty</t>
  </si>
  <si>
    <t>Red phase Joint 1 faulty</t>
  </si>
  <si>
    <t>PV 49 (B34)</t>
  </si>
  <si>
    <t>PV 05 (B66)</t>
  </si>
  <si>
    <t>PV 42 (B11)</t>
  </si>
  <si>
    <t>Blue phase Joint 1 faulty</t>
  </si>
  <si>
    <t>PV 59 (B55)</t>
  </si>
  <si>
    <t>PV 60 (B78)</t>
  </si>
  <si>
    <t>Yellow Phase Joint 3 faulty</t>
  </si>
  <si>
    <t>PV 05 (B74)</t>
  </si>
  <si>
    <t>Red Phase Joint 3 faulty</t>
  </si>
  <si>
    <t>PV 10 (B88)</t>
  </si>
  <si>
    <t>PV 02 (B116)</t>
  </si>
  <si>
    <t>Blue phase Joint 6 faulty</t>
  </si>
  <si>
    <t>PV 06 (B87)</t>
  </si>
  <si>
    <t>Red Phase Joint 4 Faulty</t>
  </si>
  <si>
    <t>PV 35 (B10)</t>
  </si>
  <si>
    <t>Blue Phase joint 1 faulty</t>
  </si>
  <si>
    <t>PV 48 (109)</t>
  </si>
  <si>
    <t>Blue Phase joint 2 faulty</t>
  </si>
  <si>
    <t>B110</t>
  </si>
  <si>
    <t>SCB</t>
  </si>
  <si>
    <t>SCB 5 isolation switch damage</t>
  </si>
  <si>
    <t>Replaced switch</t>
  </si>
  <si>
    <t>2443331082328PV3039A</t>
  </si>
  <si>
    <t>2443331078826PV3039A</t>
  </si>
  <si>
    <t>PV 41(B108)</t>
  </si>
  <si>
    <t>PV 65 (98)</t>
  </si>
  <si>
    <t>PV 64 (B105)</t>
  </si>
  <si>
    <t>Yellow Phase Joint 2 faulty</t>
  </si>
  <si>
    <t>Blue Phase Joint 3 Faulty</t>
  </si>
  <si>
    <t>PV 45 (B43)</t>
  </si>
  <si>
    <t>PV 23(B84)</t>
  </si>
  <si>
    <t>Red Phase Joint 2 faulty</t>
  </si>
  <si>
    <t>PV 56 (B57)</t>
  </si>
  <si>
    <t>Yellow Phase Joint 4 Faulty</t>
  </si>
  <si>
    <t>PV 46 (B60)</t>
  </si>
  <si>
    <t>Yellow Phase Joint 1 faulty</t>
  </si>
  <si>
    <t>PV 50 (B40)</t>
  </si>
  <si>
    <t>PV23 (B84)</t>
  </si>
  <si>
    <t>Blue Phase Joint 2 faulty</t>
  </si>
  <si>
    <t>PV 30 (B45)</t>
  </si>
  <si>
    <t>PV 24 (B110)</t>
  </si>
  <si>
    <t>Yellow Phase joint 2 faulty</t>
  </si>
  <si>
    <t>PV 57 (B82)</t>
  </si>
  <si>
    <t>Yellow Phase joint 5 faulty</t>
  </si>
  <si>
    <t>PV 12 (B31)</t>
  </si>
  <si>
    <t>PV 28 (B20)</t>
  </si>
  <si>
    <t>PV 22 (B62)</t>
  </si>
  <si>
    <t>Red Phase Joint 1 faulty</t>
  </si>
  <si>
    <t>PV 47 (B80)</t>
  </si>
  <si>
    <t>PV 6 (B87)</t>
  </si>
  <si>
    <t>PV 8 (B47)</t>
  </si>
  <si>
    <t>PV 44 (B30)</t>
  </si>
  <si>
    <t>PV 7 (B112)</t>
  </si>
  <si>
    <t>PV 51 (B61)</t>
  </si>
  <si>
    <t>Red Phase Joint 1 Faulty</t>
  </si>
  <si>
    <t>PV 5 (B74)</t>
  </si>
  <si>
    <t>Red Phase Joint 1 and yellow phase joint 3 faulty</t>
  </si>
  <si>
    <t>PV 38 (B42)</t>
  </si>
  <si>
    <t>PV 43 (B19)</t>
  </si>
  <si>
    <t>PV 63 (B77)</t>
  </si>
  <si>
    <t>PV 53 (B106)</t>
  </si>
  <si>
    <t>Block 42</t>
  </si>
  <si>
    <t>PV 09 (B64)</t>
  </si>
  <si>
    <t>PV 61 (B104)</t>
  </si>
  <si>
    <t>Blue Phase Joint 2 Faulty</t>
  </si>
  <si>
    <t>PV64(B105)</t>
  </si>
  <si>
    <t>Blue Phase Joint 3-1 faulty</t>
  </si>
  <si>
    <t>PV03</t>
  </si>
  <si>
    <t>Red phase J2-1 faulty</t>
  </si>
  <si>
    <t>Area</t>
  </si>
  <si>
    <t>SUbstation</t>
  </si>
  <si>
    <t>Communication module faulty</t>
  </si>
  <si>
    <t>V1.06-00899</t>
  </si>
  <si>
    <t>V1.07-01541</t>
  </si>
  <si>
    <t>Substation</t>
  </si>
  <si>
    <t>R phase termination faulty</t>
  </si>
  <si>
    <t>New termination Done</t>
  </si>
  <si>
    <t>DC Unbalance fault</t>
  </si>
  <si>
    <t>Replace A26 Module</t>
  </si>
  <si>
    <t>24AB042740025407</t>
  </si>
  <si>
    <t>24A9002640025407</t>
  </si>
  <si>
    <t>GT 1</t>
  </si>
  <si>
    <t>Oil seepage from winding temperature</t>
  </si>
  <si>
    <t>SST 1</t>
  </si>
  <si>
    <t>HV Side termination faulty</t>
  </si>
  <si>
    <t>HV side termination replaced</t>
  </si>
  <si>
    <t>Transformer 4</t>
  </si>
  <si>
    <t>Due to high line voltage transformer trip</t>
  </si>
  <si>
    <t>Reduce the voltage by using tap changer. Reset the alarm and transformer energize</t>
  </si>
  <si>
    <t>Transformer 5</t>
  </si>
  <si>
    <t>Transformer 6</t>
  </si>
  <si>
    <t>Cameras</t>
  </si>
  <si>
    <t>B015,20,123,126,25,29,33,43,61 cameras not working</t>
  </si>
  <si>
    <t>After complete inspection found that fiber optic ports are swapped. So, restore the system after changing the ports and now all cameras are working</t>
  </si>
  <si>
    <t>Replaced the Module</t>
  </si>
  <si>
    <t>O&amp;M/OEM</t>
  </si>
  <si>
    <t>Rectified Date</t>
  </si>
  <si>
    <t>Earthing Transformer 1</t>
  </si>
  <si>
    <t>Silica gel not OK</t>
  </si>
  <si>
    <t>Earthing Transformer 2</t>
  </si>
  <si>
    <t>Earthing Transformer 3</t>
  </si>
  <si>
    <t>Earthing Transformer 4</t>
  </si>
  <si>
    <t>Earthing Transformer 5</t>
  </si>
  <si>
    <t>Earthing Transformer 6</t>
  </si>
  <si>
    <t>Auxiliary Transformer 1</t>
  </si>
  <si>
    <t>Auxiliary Transformer 2</t>
  </si>
  <si>
    <t>110KV GIS</t>
  </si>
  <si>
    <t>Line 2</t>
  </si>
  <si>
    <t>Earth switch name plate missing</t>
  </si>
  <si>
    <t>Protection Room</t>
  </si>
  <si>
    <t xml:space="preserve">OHL 1 Protection Panel </t>
  </si>
  <si>
    <t>Filter missing</t>
  </si>
  <si>
    <t xml:space="preserve">OHL 3 Protection Panel </t>
  </si>
  <si>
    <t>33KV room</t>
  </si>
  <si>
    <t xml:space="preserve">SVG 1 </t>
  </si>
  <si>
    <t>Name Plate missing</t>
  </si>
  <si>
    <t>Interconnection Panel F.16</t>
  </si>
  <si>
    <t>Interconnection Panel F.17</t>
  </si>
  <si>
    <t>PV 20</t>
  </si>
  <si>
    <t>Busbar Panel</t>
  </si>
  <si>
    <t>PV 21</t>
  </si>
  <si>
    <t>Interconnection Panel F.24</t>
  </si>
  <si>
    <t>Fire system</t>
  </si>
  <si>
    <t>Fire system power board fuse damage</t>
  </si>
  <si>
    <t>DONE</t>
  </si>
  <si>
    <t>All Buildings</t>
  </si>
  <si>
    <t>HVAC System</t>
  </si>
  <si>
    <t>HVAC trip frquently</t>
  </si>
  <si>
    <t>Warehouse</t>
  </si>
  <si>
    <t>Exhaust fan</t>
  </si>
  <si>
    <t>Breaker trip when exhaust fan run</t>
  </si>
  <si>
    <t>Water Pump</t>
  </si>
  <si>
    <t>Water Pump not working</t>
  </si>
  <si>
    <t>Water Valve</t>
  </si>
  <si>
    <t>Water valve leakage</t>
  </si>
  <si>
    <t>Tightened</t>
  </si>
  <si>
    <t>Fire fightning system</t>
  </si>
  <si>
    <t>Diesel Pump signal is active</t>
  </si>
  <si>
    <t>GIS Room</t>
  </si>
  <si>
    <t>Butterfly valve alarm coming</t>
  </si>
  <si>
    <t>Main gate</t>
  </si>
  <si>
    <t>Hydraulic Pump</t>
  </si>
  <si>
    <t>Road blocker not operational due to low hydraulic pump pressure</t>
  </si>
  <si>
    <t>Fire fightning Pump</t>
  </si>
  <si>
    <t>Minor Leakage</t>
  </si>
  <si>
    <t>Server Room</t>
  </si>
  <si>
    <t xml:space="preserve">CCTV Communication Switch </t>
  </si>
  <si>
    <t>Switch PCB faulty</t>
  </si>
  <si>
    <t>ACDC Room</t>
  </si>
  <si>
    <t>LVAC Drawyer</t>
  </si>
  <si>
    <t>OGF to PACU1A Breaker not work</t>
  </si>
  <si>
    <t>Prepared By</t>
  </si>
  <si>
    <t>Ahmad Israr</t>
  </si>
  <si>
    <t>1st Cycle Observation</t>
  </si>
  <si>
    <t>Closed</t>
  </si>
  <si>
    <t>PV Field</t>
  </si>
  <si>
    <t>Open</t>
  </si>
  <si>
    <t>Sr.No.</t>
  </si>
  <si>
    <t>Observation</t>
  </si>
  <si>
    <t>Action need to Taken</t>
  </si>
  <si>
    <t>Silica gel not good</t>
  </si>
  <si>
    <t>Silica gel need to replace</t>
  </si>
  <si>
    <t>Sealent Required</t>
  </si>
  <si>
    <t>SCADA Box</t>
  </si>
  <si>
    <t>Sealent need to add in cable entry points</t>
  </si>
  <si>
    <t>Add Sealent</t>
  </si>
  <si>
    <t>Earthing Rod</t>
  </si>
  <si>
    <t>RMU</t>
  </si>
  <si>
    <t>Earthing Rod is missing in RMU</t>
  </si>
  <si>
    <t>Need to add</t>
  </si>
  <si>
    <t>MVPS Lights</t>
  </si>
  <si>
    <t>MVPS lights are not working</t>
  </si>
  <si>
    <t>Close</t>
  </si>
  <si>
    <t>PV Area</t>
  </si>
  <si>
    <t>Fence Damage</t>
  </si>
  <si>
    <t>Fence</t>
  </si>
  <si>
    <t>Near Road 12 Fence Damage</t>
  </si>
  <si>
    <t>Rectification</t>
  </si>
  <si>
    <t>Housekeeping</t>
  </si>
  <si>
    <t>Housekeeping need to be done</t>
  </si>
  <si>
    <t>Cleaning performed</t>
  </si>
  <si>
    <t>Route markers damage</t>
  </si>
  <si>
    <t>Many route markers damaged</t>
  </si>
  <si>
    <t>Block-40 Tracker Box Door lock damage</t>
  </si>
  <si>
    <t>Maintenance Checklist</t>
  </si>
  <si>
    <t>SNO</t>
  </si>
  <si>
    <t>NAME</t>
  </si>
  <si>
    <t>STATUS
REVISION1</t>
  </si>
  <si>
    <t>STATUS
REVISION2</t>
  </si>
  <si>
    <t>Responsible</t>
  </si>
  <si>
    <t>Weather Monitoring System Checklist</t>
  </si>
  <si>
    <t>C4</t>
  </si>
  <si>
    <t>C2</t>
  </si>
  <si>
    <t>Power Station Checklist</t>
  </si>
  <si>
    <t>C1</t>
  </si>
  <si>
    <t>Tracker Checklist</t>
  </si>
  <si>
    <t>UR</t>
  </si>
  <si>
    <t>Robot Checklist</t>
  </si>
  <si>
    <t>C3</t>
  </si>
  <si>
    <t>Farooq Ghumro</t>
  </si>
  <si>
    <t>PV Module Checklist</t>
  </si>
  <si>
    <t>Combiner Box Checklist</t>
  </si>
  <si>
    <t>BATTERY BANK CHECKLIST</t>
  </si>
  <si>
    <t>STATIC VAR GENERATOR CHECKLIST</t>
  </si>
  <si>
    <t>POWER TRANSFORMER CHECKLIST</t>
  </si>
  <si>
    <t>EARTHING TRANSFORMER CHECKLIST</t>
  </si>
  <si>
    <t>Rahim</t>
  </si>
  <si>
    <t>110 KV GIS MAINTENANCE CHECKLIST</t>
  </si>
  <si>
    <t>33KV MAINTENANCE CHECKLIST</t>
  </si>
  <si>
    <t>Khalid</t>
  </si>
  <si>
    <t>LVAC PANEL CHECKLIST</t>
  </si>
  <si>
    <t>UPS AND DC CHARGERS (110-DC, 48-DC,125-DC) CHECKLIST</t>
  </si>
  <si>
    <t>SUBSTATION CONTROL &amp; PROTECTION PANELS CHECKLIST</t>
  </si>
  <si>
    <t>SUBSTATION DISTRIBUTION PANEL/BOARD (LIGHTING/POWER) CHECKLIST</t>
  </si>
  <si>
    <t>Naveed</t>
  </si>
  <si>
    <t>HVAC SYSTEM CHECKLIST</t>
  </si>
  <si>
    <t>EMERGENCY DIESEL GENERATOR CHECKLIST</t>
  </si>
  <si>
    <t>FIRE FIGHTING SYSTEM CHECKLIST</t>
  </si>
  <si>
    <t>HSE Team</t>
  </si>
  <si>
    <t>ALL FACILITIES LIGHTING AND POWER SYSTEM CHECKLIST</t>
  </si>
  <si>
    <t>WATER PUMPING SYSTEM CHECKLIST</t>
  </si>
  <si>
    <t>SURGE ARRESTOR CHECKLIST</t>
  </si>
  <si>
    <t>AUXILIARY TRANSFORMER CHECKLIST</t>
  </si>
  <si>
    <t>CCTV &amp; ACCESS CONTROL CHECKLIST</t>
  </si>
  <si>
    <t>PERIMETER LIGHTING SYSTEM CHECKLIST</t>
  </si>
  <si>
    <t>MAIN GATE CHECKLIST</t>
  </si>
  <si>
    <t>Communication System Checklist</t>
  </si>
  <si>
    <t>PROCEDURE of_BATTERY BANK</t>
  </si>
  <si>
    <t>PROCEDURE of_STATIC VAR GENERATOR</t>
  </si>
  <si>
    <t>PROCEDURE of_POWER TRANSFORMER</t>
  </si>
  <si>
    <t>PROCEDURE of_EARTHING TRANSFORMER</t>
  </si>
  <si>
    <t>PROCEDURE of_110 KV GIS MAINTENANCE</t>
  </si>
  <si>
    <t>PROCEDURE of_33KV MAINTENANCE</t>
  </si>
  <si>
    <t>PROCEDURE of_LVAC PANEL</t>
  </si>
  <si>
    <t xml:space="preserve">PROCEDURE of_UPS AND DC CHARGERS (110-DC, 48-DC,125-DC) </t>
  </si>
  <si>
    <t>PROCEDURE of_SUBSTATION CONTROL &amp; PROTECTION PANELS</t>
  </si>
  <si>
    <t>PROCEDURE of_SUBSTATION DISTRIBUTION PANEL/BOARD (LIGHTING/POWER)</t>
  </si>
  <si>
    <t>PROCEDURE of_HVAC SYSTEM</t>
  </si>
  <si>
    <t>PROCEDURE of_EMERGENCY DIESEL GENERATOR</t>
  </si>
  <si>
    <t xml:space="preserve">PROCEDURE of_FIRE FIGHTING SYSTEM </t>
  </si>
  <si>
    <t>PROCEDURE of_ALL FACILITIES LIGHTING AND POWER SYSTEM</t>
  </si>
  <si>
    <t>PROCEDURE of_WATER PUMPING SYSTEM</t>
  </si>
  <si>
    <t>PROCEDURE of_SURGE ARRESTOR</t>
  </si>
  <si>
    <t>Procedure of_AUXILIARY TRANSFORMER</t>
  </si>
  <si>
    <t>Procedure of_COMMUNICATION SYSTEM</t>
  </si>
  <si>
    <t>PROCEDURE of_WEATHER STATIONS</t>
  </si>
  <si>
    <t>PROCEDURE of_POWER STATION</t>
  </si>
  <si>
    <t>PROCEDURE of_TRACKERS</t>
  </si>
  <si>
    <t>PROCEDURE of_PV MODULES</t>
  </si>
  <si>
    <t>PROCEDURE of_COMBINER BOX</t>
  </si>
  <si>
    <t>Procedure of_CLEANING ROBOT</t>
  </si>
  <si>
    <t>PROCEDURE of_CCTV &amp; ACCESS CONTROL</t>
  </si>
  <si>
    <t>PROCEDURE of_PERIMETER LIGHTING SYSTEM</t>
  </si>
  <si>
    <t>PROCEDURE of_MAIN GATE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</si>
</sst>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-F800]dddd\,\ mmmm\ dd\,\ yyyy"/>
    <numFmt numFmtId="165" formatCode="d\-mmm\-yyyy"/>
    <numFmt numFmtId="166" formatCode="[$-409]d\-mmm\-yy"/>
    <numFmt numFmtId="167" formatCode="[h]:mm"/>
    <numFmt numFmtId="168" formatCode="d-mmmm-yy"/>
    <numFmt numFmtId="169" formatCode="mm\-dd\-yyyy"/>
    <numFmt numFmtId="170" formatCode="m\-d\-yyyy"/>
    <numFmt numFmtId="171" formatCode="d-mmmm-yyyy"/>
    <numFmt numFmtId="172" formatCode="[$-409]d/mmm/yy"/>
  </numFmts>
  <fonts count="37">
    <font>
      <sz val="11.0"/>
      <color rgb="FF000000"/>
      <name val="Arial"/>
      <scheme val="minor"/>
    </font>
    <font>
      <b/>
      <sz val="16.0"/>
      <color rgb="FF000000"/>
      <name val="Arial"/>
    </font>
    <font/>
    <font>
      <sz val="11.0"/>
      <color theme="1"/>
      <name val="Aptos Narrow"/>
    </font>
    <font>
      <sz val="10.0"/>
      <color rgb="FF000000"/>
      <name val="Arial"/>
    </font>
    <font>
      <b/>
      <sz val="14.0"/>
      <color rgb="FF000000"/>
      <name val="Arial"/>
    </font>
    <font>
      <sz val="11.0"/>
      <color rgb="FF000000"/>
      <name val="Arial"/>
    </font>
    <font>
      <b/>
      <u/>
      <sz val="14.0"/>
      <color rgb="FF000000"/>
      <name val="Arial"/>
    </font>
    <font>
      <b/>
      <u/>
      <sz val="14.0"/>
      <color rgb="FF000000"/>
      <name val="Arial"/>
    </font>
    <font>
      <b/>
      <u/>
      <sz val="14.0"/>
      <color rgb="FF000000"/>
      <name val="Arial"/>
    </font>
    <font>
      <b/>
      <u/>
      <sz val="14.0"/>
      <color rgb="FF000000"/>
      <name val="Arial"/>
    </font>
    <font>
      <b/>
      <u/>
      <sz val="14.0"/>
      <color rgb="FF000000"/>
      <name val="Arial"/>
    </font>
    <font>
      <color theme="1"/>
      <name val="Arial"/>
      <scheme val="minor"/>
    </font>
    <font>
      <b/>
      <u/>
      <sz val="14.0"/>
      <color rgb="FF000000"/>
      <name val="Arial"/>
    </font>
    <font>
      <b/>
      <u/>
      <sz val="14.0"/>
      <color rgb="FF000000"/>
      <name val="Arial"/>
    </font>
    <font>
      <sz val="11.0"/>
      <color theme="1"/>
      <name val="Arial"/>
    </font>
    <font>
      <b/>
      <sz val="9.0"/>
      <color rgb="FF000000"/>
      <name val="Calibri"/>
    </font>
    <font>
      <sz val="18.0"/>
      <color rgb="FFFF0000"/>
      <name val="Aptos Narrow"/>
    </font>
    <font>
      <b/>
      <sz val="18.0"/>
      <color rgb="FFFFFFFF"/>
      <name val="Calibri"/>
    </font>
    <font>
      <b/>
      <sz val="11.0"/>
      <color theme="1"/>
      <name val="Calibri"/>
    </font>
    <font>
      <b/>
      <sz val="9.0"/>
      <color theme="1"/>
      <name val="Calibri"/>
    </font>
    <font>
      <sz val="11.0"/>
      <color theme="1"/>
      <name val="Calibri"/>
    </font>
    <font>
      <b/>
      <sz val="11.0"/>
      <color theme="1"/>
      <name val="Arial"/>
    </font>
    <font>
      <b/>
      <sz val="11.0"/>
      <color theme="1"/>
      <name val="Aptos Narrow"/>
    </font>
    <font>
      <b/>
      <sz val="12.0"/>
      <color theme="1"/>
      <name val="Aptos Narrow"/>
    </font>
    <font>
      <sz val="11.0"/>
      <color rgb="FF000000"/>
      <name val="Calibri"/>
    </font>
    <font>
      <sz val="9.0"/>
      <color theme="1"/>
      <name val="Aptos Narrow"/>
    </font>
    <font>
      <sz val="9.0"/>
      <color theme="1"/>
      <name val="Microsoft Yahei"/>
    </font>
    <font>
      <sz val="9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i/>
      <u/>
      <sz val="11.0"/>
      <color theme="1"/>
      <name val="Calibri"/>
    </font>
    <font>
      <b/>
      <i/>
      <u/>
      <sz val="11.0"/>
      <color rgb="FF0C0C0C"/>
      <name val="Calibri"/>
    </font>
    <font>
      <b/>
      <u/>
      <sz val="12.0"/>
      <color theme="1"/>
      <name val="Calibri"/>
    </font>
    <font>
      <b/>
      <i/>
      <u/>
      <sz val="11.0"/>
      <color theme="1"/>
      <name val="Calibri"/>
    </font>
    <font>
      <sz val="16.0"/>
      <color theme="1"/>
      <name val="Aptos Narrow"/>
    </font>
    <font>
      <sz val="12.0"/>
      <color theme="1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2F2F2"/>
        <bgColor rgb="FFF2F2F2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3D85C6"/>
        <bgColor rgb="FF3D85C6"/>
      </patternFill>
    </fill>
    <fill>
      <patternFill patternType="solid">
        <fgColor rgb="FFD8D8D8"/>
        <bgColor rgb="FFD8D8D8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D9F2D0"/>
        <bgColor rgb="FFD9F2D0"/>
      </patternFill>
    </fill>
    <fill>
      <patternFill patternType="solid">
        <fgColor rgb="FFE49EDD"/>
        <bgColor rgb="FFE49EDD"/>
      </patternFill>
    </fill>
    <fill>
      <patternFill patternType="solid">
        <fgColor rgb="FFFBE4D5"/>
        <bgColor rgb="FFFBE4D5"/>
      </patternFill>
    </fill>
    <fill>
      <patternFill patternType="solid">
        <fgColor rgb="FFC6D9F0"/>
        <bgColor rgb="FFC6D9F0"/>
      </patternFill>
    </fill>
    <fill>
      <patternFill patternType="solid">
        <fgColor rgb="FF153D64"/>
        <bgColor rgb="FF153D64"/>
      </patternFill>
    </fill>
  </fills>
  <borders count="38">
    <border/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3" numFmtId="0" xfId="0" applyAlignment="1" applyBorder="1" applyFont="1">
      <alignment horizontal="center"/>
    </xf>
    <xf borderId="6" fillId="0" fontId="2" numFmtId="0" xfId="0" applyBorder="1" applyFont="1"/>
    <xf borderId="7" fillId="2" fontId="1" numFmtId="0" xfId="0" applyAlignment="1" applyBorder="1" applyFont="1">
      <alignment horizontal="center" readingOrder="1" shrinkToFit="0" vertical="center" wrapText="1"/>
    </xf>
    <xf borderId="5" fillId="0" fontId="2" numFmtId="0" xfId="0" applyBorder="1" applyFont="1"/>
    <xf borderId="7" fillId="3" fontId="4" numFmtId="0" xfId="0" applyAlignment="1" applyBorder="1" applyFill="1" applyFont="1">
      <alignment horizontal="center" readingOrder="1" shrinkToFit="0" vertical="center" wrapText="1"/>
    </xf>
    <xf borderId="8" fillId="3" fontId="4" numFmtId="0" xfId="0" applyAlignment="1" applyBorder="1" applyFont="1">
      <alignment horizontal="left" readingOrder="1" shrinkToFit="0" vertical="center" wrapText="1"/>
    </xf>
    <xf borderId="7" fillId="3" fontId="5" numFmtId="0" xfId="0" applyAlignment="1" applyBorder="1" applyFont="1">
      <alignment horizontal="center" readingOrder="1" shrinkToFit="0" vertical="center" wrapText="1"/>
    </xf>
    <xf borderId="7" fillId="3" fontId="5" numFmtId="0" xfId="0" applyAlignment="1" applyBorder="1" applyFont="1">
      <alignment horizontal="center" readingOrder="1" shrinkToFit="0" vertical="center" wrapText="1"/>
    </xf>
    <xf borderId="0" fillId="0" fontId="6" numFmtId="0" xfId="0" applyFont="1"/>
    <xf borderId="7" fillId="4" fontId="7" numFmtId="0" xfId="0" applyAlignment="1" applyBorder="1" applyFill="1" applyFont="1">
      <alignment horizontal="center" readingOrder="1" shrinkToFit="0" vertical="center" wrapText="1"/>
    </xf>
    <xf borderId="8" fillId="4" fontId="8" numFmtId="0" xfId="0" applyAlignment="1" applyBorder="1" applyFont="1">
      <alignment horizontal="center" readingOrder="1" shrinkToFit="0" vertical="center" wrapText="1"/>
    </xf>
    <xf borderId="7" fillId="4" fontId="5" numFmtId="0" xfId="0" applyAlignment="1" applyBorder="1" applyFont="1">
      <alignment horizontal="center" readingOrder="1" shrinkToFit="0" vertical="center" wrapText="1"/>
    </xf>
    <xf borderId="2" fillId="4" fontId="5" numFmtId="10" xfId="0" applyAlignment="1" applyBorder="1" applyFont="1" applyNumberFormat="1">
      <alignment horizontal="center" readingOrder="1" shrinkToFit="0" vertical="center" wrapText="1"/>
    </xf>
    <xf borderId="9" fillId="5" fontId="3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0" fillId="0" fontId="3" numFmtId="0" xfId="0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6" fontId="1" numFmtId="0" xfId="0" applyAlignment="1" applyBorder="1" applyFill="1" applyFont="1">
      <alignment horizontal="center" readingOrder="1" shrinkToFit="0" vertical="center" wrapText="1"/>
    </xf>
    <xf borderId="2" fillId="6" fontId="1" numFmtId="0" xfId="0" applyAlignment="1" applyBorder="1" applyFont="1">
      <alignment horizontal="center" readingOrder="1" shrinkToFit="0" vertical="center" wrapText="1"/>
    </xf>
    <xf borderId="7" fillId="6" fontId="1" numFmtId="0" xfId="0" applyAlignment="1" applyBorder="1" applyFont="1">
      <alignment horizontal="center" readingOrder="1" shrinkToFit="0" vertical="center" wrapText="1"/>
    </xf>
    <xf borderId="8" fillId="3" fontId="5" numFmtId="0" xfId="0" applyAlignment="1" applyBorder="1" applyFont="1">
      <alignment horizontal="center" readingOrder="1" shrinkToFit="0" vertical="center" wrapText="1"/>
    </xf>
    <xf borderId="16" fillId="3" fontId="4" numFmtId="0" xfId="0" applyAlignment="1" applyBorder="1" applyFont="1">
      <alignment horizontal="center" readingOrder="1" shrinkToFit="0" vertical="center" wrapText="1"/>
    </xf>
    <xf borderId="7" fillId="3" fontId="4" numFmtId="0" xfId="0" applyAlignment="1" applyBorder="1" applyFont="1">
      <alignment horizontal="left" readingOrder="1" shrinkToFit="0" vertical="center" wrapText="1"/>
    </xf>
    <xf borderId="1" fillId="4" fontId="9" numFmtId="0" xfId="0" applyAlignment="1" applyBorder="1" applyFont="1">
      <alignment horizontal="center" readingOrder="1" shrinkToFit="0" vertical="center" wrapText="1"/>
    </xf>
    <xf borderId="17" fillId="4" fontId="10" numFmtId="0" xfId="0" applyAlignment="1" applyBorder="1" applyFont="1">
      <alignment horizontal="center" readingOrder="1" shrinkToFit="0" vertical="center" wrapText="1"/>
    </xf>
    <xf borderId="7" fillId="4" fontId="5" numFmtId="0" xfId="0" applyAlignment="1" applyBorder="1" applyFont="1">
      <alignment horizontal="center" readingOrder="1" shrinkToFit="0" vertical="center" wrapText="1"/>
    </xf>
    <xf borderId="15" fillId="0" fontId="2" numFmtId="0" xfId="0" applyBorder="1" applyFont="1"/>
    <xf borderId="18" fillId="7" fontId="3" numFmtId="0" xfId="0" applyAlignment="1" applyBorder="1" applyFill="1" applyFont="1">
      <alignment horizontal="center"/>
    </xf>
    <xf borderId="9" fillId="7" fontId="3" numFmtId="0" xfId="0" applyAlignment="1" applyBorder="1" applyFont="1">
      <alignment horizontal="center"/>
    </xf>
    <xf borderId="19" fillId="0" fontId="2" numFmtId="0" xfId="0" applyBorder="1" applyFont="1"/>
    <xf borderId="15" fillId="8" fontId="1" numFmtId="0" xfId="0" applyAlignment="1" applyBorder="1" applyFill="1" applyFont="1">
      <alignment horizontal="center" readingOrder="1" shrinkToFit="0" vertical="center" wrapText="1"/>
    </xf>
    <xf borderId="2" fillId="8" fontId="1" numFmtId="0" xfId="0" applyAlignment="1" applyBorder="1" applyFont="1">
      <alignment horizontal="center" readingOrder="1" shrinkToFit="0" vertical="center" wrapText="1"/>
    </xf>
    <xf borderId="7" fillId="8" fontId="1" numFmtId="0" xfId="0" applyAlignment="1" applyBorder="1" applyFont="1">
      <alignment horizontal="center" readingOrder="1" shrinkToFit="0" vertical="center" wrapText="1"/>
    </xf>
    <xf borderId="20" fillId="4" fontId="11" numFmtId="0" xfId="0" applyAlignment="1" applyBorder="1" applyFont="1">
      <alignment horizontal="center" readingOrder="1" shrinkToFit="0" vertical="center" wrapText="1"/>
    </xf>
    <xf borderId="0" fillId="9" fontId="3" numFmtId="0" xfId="0" applyAlignment="1" applyFill="1" applyFont="1">
      <alignment horizontal="center"/>
    </xf>
    <xf borderId="10" fillId="9" fontId="3" numFmtId="0" xfId="0" applyAlignment="1" applyBorder="1" applyFont="1">
      <alignment horizontal="center"/>
    </xf>
    <xf borderId="20" fillId="10" fontId="1" numFmtId="0" xfId="0" applyAlignment="1" applyBorder="1" applyFill="1" applyFont="1">
      <alignment horizontal="center" readingOrder="1" shrinkToFit="0" vertical="center" wrapText="1"/>
    </xf>
    <xf borderId="2" fillId="10" fontId="1" numFmtId="0" xfId="0" applyAlignment="1" applyBorder="1" applyFont="1">
      <alignment horizontal="center" readingOrder="1" shrinkToFit="0" vertical="center" wrapText="1"/>
    </xf>
    <xf borderId="7" fillId="10" fontId="1" numFmtId="0" xfId="0" applyAlignment="1" applyBorder="1" applyFont="1">
      <alignment horizontal="center" readingOrder="1" shrinkToFit="0" vertical="center" wrapText="1"/>
    </xf>
    <xf borderId="0" fillId="11" fontId="12" numFmtId="0" xfId="0" applyFill="1" applyFont="1"/>
    <xf borderId="1" fillId="12" fontId="1" numFmtId="0" xfId="0" applyAlignment="1" applyBorder="1" applyFill="1" applyFont="1">
      <alignment horizontal="center" readingOrder="1" shrinkToFit="0" vertical="center" wrapText="1"/>
    </xf>
    <xf borderId="2" fillId="12" fontId="1" numFmtId="0" xfId="0" applyAlignment="1" applyBorder="1" applyFont="1">
      <alignment horizontal="center" readingOrder="1" shrinkToFit="0" vertical="center" wrapText="1"/>
    </xf>
    <xf borderId="7" fillId="12" fontId="1" numFmtId="0" xfId="0" applyAlignment="1" applyBorder="1" applyFont="1">
      <alignment horizontal="center" readingOrder="1" shrinkToFit="0" vertical="center" wrapText="1"/>
    </xf>
    <xf borderId="5" fillId="0" fontId="6" numFmtId="0" xfId="0" applyAlignment="1" applyBorder="1" applyFont="1">
      <alignment horizontal="center"/>
    </xf>
    <xf borderId="7" fillId="3" fontId="13" numFmtId="0" xfId="0" applyAlignment="1" applyBorder="1" applyFont="1">
      <alignment horizontal="center" readingOrder="1" shrinkToFit="0" vertical="center" wrapText="1"/>
    </xf>
    <xf borderId="20" fillId="3" fontId="14" numFmtId="0" xfId="0" applyAlignment="1" applyBorder="1" applyFont="1">
      <alignment horizontal="center" readingOrder="1" shrinkToFit="0" vertical="center" wrapText="1"/>
    </xf>
    <xf borderId="2" fillId="3" fontId="1" numFmtId="0" xfId="0" applyAlignment="1" applyBorder="1" applyFont="1">
      <alignment horizontal="center" readingOrder="1" shrinkToFit="0" vertical="center" wrapText="1"/>
    </xf>
    <xf borderId="7" fillId="3" fontId="1" numFmtId="0" xfId="0" applyAlignment="1" applyBorder="1" applyFont="1">
      <alignment horizontal="center" readingOrder="1" shrinkToFit="0" vertical="center" wrapText="1"/>
    </xf>
    <xf borderId="8" fillId="3" fontId="4" numFmtId="0" xfId="0" applyAlignment="1" applyBorder="1" applyFont="1">
      <alignment horizontal="center" readingOrder="1" shrinkToFit="0" vertical="center" wrapText="1"/>
    </xf>
    <xf borderId="8" fillId="3" fontId="15" numFmtId="0" xfId="0" applyAlignment="1" applyBorder="1" applyFont="1">
      <alignment horizontal="center" shrinkToFit="0" wrapText="1"/>
    </xf>
    <xf borderId="21" fillId="3" fontId="15" numFmtId="0" xfId="0" applyAlignment="1" applyBorder="1" applyFont="1">
      <alignment horizontal="center" shrinkToFit="0" wrapText="1"/>
    </xf>
    <xf borderId="7" fillId="3" fontId="15" numFmtId="0" xfId="0" applyAlignment="1" applyBorder="1" applyFont="1">
      <alignment horizontal="center" shrinkToFit="0" wrapText="1"/>
    </xf>
    <xf borderId="2" fillId="3" fontId="5" numFmtId="10" xfId="0" applyAlignment="1" applyBorder="1" applyFont="1" applyNumberFormat="1">
      <alignment horizontal="center" readingOrder="1" shrinkToFit="0" vertical="center" wrapText="1"/>
    </xf>
    <xf borderId="22" fillId="0" fontId="3" numFmtId="0" xfId="0" applyBorder="1" applyFont="1"/>
    <xf borderId="7" fillId="3" fontId="16" numFmtId="0" xfId="0" applyAlignment="1" applyBorder="1" applyFont="1">
      <alignment horizontal="center" readingOrder="1" shrinkToFit="0" vertical="center" wrapText="1"/>
    </xf>
    <xf borderId="7" fillId="3" fontId="16" numFmtId="0" xfId="0" applyAlignment="1" applyBorder="1" applyFont="1">
      <alignment horizontal="center" readingOrder="1" shrinkToFit="0" vertical="center" wrapText="1"/>
    </xf>
    <xf borderId="10" fillId="0" fontId="3" numFmtId="0" xfId="0" applyAlignment="1" applyBorder="1" applyFont="1">
      <alignment horizontal="center"/>
    </xf>
    <xf borderId="23" fillId="0" fontId="17" numFmtId="0" xfId="0" applyAlignment="1" applyBorder="1" applyFont="1">
      <alignment horizontal="center"/>
    </xf>
    <xf borderId="24" fillId="0" fontId="17" numFmtId="0" xfId="0" applyAlignment="1" applyBorder="1" applyFont="1">
      <alignment horizontal="center"/>
    </xf>
    <xf borderId="22" fillId="0" fontId="17" numFmtId="0" xfId="0" applyAlignment="1" applyBorder="1" applyFont="1">
      <alignment horizontal="center"/>
    </xf>
    <xf borderId="0" fillId="0" fontId="18" numFmtId="0" xfId="0" applyAlignment="1" applyFont="1">
      <alignment horizontal="center" shrinkToFit="0" vertical="center" wrapText="1"/>
    </xf>
    <xf borderId="25" fillId="13" fontId="19" numFmtId="0" xfId="0" applyAlignment="1" applyBorder="1" applyFill="1" applyFont="1">
      <alignment horizontal="center" vertical="center"/>
    </xf>
    <xf borderId="18" fillId="13" fontId="19" numFmtId="0" xfId="0" applyAlignment="1" applyBorder="1" applyFont="1">
      <alignment horizontal="center" vertical="center"/>
    </xf>
    <xf borderId="2" fillId="13" fontId="20" numFmtId="164" xfId="0" applyAlignment="1" applyBorder="1" applyFont="1" applyNumberFormat="1">
      <alignment horizontal="center" shrinkToFit="0" vertical="center" wrapText="1"/>
    </xf>
    <xf borderId="26" fillId="0" fontId="2" numFmtId="0" xfId="0" applyBorder="1" applyFont="1"/>
    <xf borderId="16" fillId="13" fontId="20" numFmtId="49" xfId="0" applyAlignment="1" applyBorder="1" applyFont="1" applyNumberFormat="1">
      <alignment horizontal="center" shrinkToFit="0" vertical="center" wrapText="1"/>
    </xf>
    <xf quotePrefix="1" borderId="2" fillId="0" fontId="21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  <xf borderId="7" fillId="14" fontId="15" numFmtId="0" xfId="0" applyAlignment="1" applyBorder="1" applyFill="1" applyFont="1">
      <alignment horizontal="center" readingOrder="0"/>
    </xf>
    <xf borderId="7" fillId="0" fontId="15" numFmtId="0" xfId="0" applyAlignment="1" applyBorder="1" applyFont="1">
      <alignment horizontal="center" readingOrder="0"/>
    </xf>
    <xf borderId="7" fillId="0" fontId="15" numFmtId="0" xfId="0" applyAlignment="1" applyBorder="1" applyFont="1">
      <alignment horizontal="center"/>
    </xf>
    <xf borderId="7" fillId="0" fontId="3" numFmtId="0" xfId="0" applyBorder="1" applyFont="1"/>
    <xf borderId="7" fillId="0" fontId="6" numFmtId="0" xfId="0" applyBorder="1" applyFont="1"/>
    <xf borderId="2" fillId="0" fontId="21" numFmtId="49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horizontal="center" readingOrder="0"/>
    </xf>
    <xf borderId="2" fillId="0" fontId="22" numFmtId="0" xfId="0" applyAlignment="1" applyBorder="1" applyFont="1">
      <alignment horizontal="center" readingOrder="0"/>
    </xf>
    <xf borderId="2" fillId="0" fontId="22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2" fillId="14" fontId="15" numFmtId="0" xfId="0" applyAlignment="1" applyBorder="1" applyFont="1">
      <alignment horizontal="center" readingOrder="0"/>
    </xf>
    <xf borderId="2" fillId="0" fontId="15" numFmtId="0" xfId="0" applyAlignment="1" applyBorder="1" applyFont="1">
      <alignment horizontal="center"/>
    </xf>
    <xf borderId="2" fillId="13" fontId="20" numFmtId="49" xfId="0" applyAlignment="1" applyBorder="1" applyFont="1" applyNumberFormat="1">
      <alignment horizontal="center" shrinkToFit="0" vertical="center" wrapText="1"/>
    </xf>
    <xf borderId="7" fillId="13" fontId="20" numFmtId="49" xfId="0" applyAlignment="1" applyBorder="1" applyFont="1" applyNumberFormat="1">
      <alignment horizontal="center" shrinkToFit="0" vertical="center" wrapText="1"/>
    </xf>
    <xf borderId="7" fillId="0" fontId="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15" fontId="23" numFmtId="0" xfId="0" applyAlignment="1" applyBorder="1" applyFill="1" applyFont="1">
      <alignment horizontal="center" vertical="center"/>
    </xf>
    <xf borderId="2" fillId="15" fontId="23" numFmtId="0" xfId="0" applyAlignment="1" applyBorder="1" applyFont="1">
      <alignment horizontal="center"/>
    </xf>
    <xf borderId="27" fillId="16" fontId="23" numFmtId="0" xfId="0" applyAlignment="1" applyBorder="1" applyFill="1" applyFont="1">
      <alignment horizontal="center"/>
    </xf>
    <xf borderId="27" fillId="0" fontId="2" numFmtId="0" xfId="0" applyBorder="1" applyFont="1"/>
    <xf borderId="28" fillId="16" fontId="23" numFmtId="0" xfId="0" applyAlignment="1" applyBorder="1" applyFont="1">
      <alignment horizontal="center"/>
    </xf>
    <xf borderId="2" fillId="17" fontId="20" numFmtId="49" xfId="0" applyAlignment="1" applyBorder="1" applyFill="1" applyFont="1" applyNumberFormat="1">
      <alignment horizontal="center" shrinkToFit="0" vertical="center" wrapText="1"/>
    </xf>
    <xf borderId="7" fillId="17" fontId="20" numFmtId="49" xfId="0" applyAlignment="1" applyBorder="1" applyFont="1" applyNumberFormat="1">
      <alignment horizontal="center" shrinkToFit="0" vertical="center" wrapText="1"/>
    </xf>
    <xf borderId="29" fillId="0" fontId="2" numFmtId="0" xfId="0" applyBorder="1" applyFont="1"/>
    <xf borderId="30" fillId="0" fontId="2" numFmtId="0" xfId="0" applyBorder="1" applyFont="1"/>
    <xf quotePrefix="1" borderId="7" fillId="0" fontId="15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readingOrder="0"/>
    </xf>
    <xf borderId="13" fillId="0" fontId="18" numFmtId="0" xfId="0" applyAlignment="1" applyBorder="1" applyFont="1">
      <alignment horizontal="center" shrinkToFit="0" vertical="center" wrapText="1"/>
    </xf>
    <xf borderId="7" fillId="18" fontId="20" numFmtId="49" xfId="0" applyAlignment="1" applyBorder="1" applyFill="1" applyFont="1" applyNumberFormat="1">
      <alignment horizontal="center" shrinkToFit="0" vertical="center" wrapText="1"/>
    </xf>
    <xf borderId="8" fillId="18" fontId="20" numFmtId="49" xfId="0" applyAlignment="1" applyBorder="1" applyFont="1" applyNumberFormat="1">
      <alignment horizontal="center" shrinkToFit="0" vertical="center" wrapText="1"/>
    </xf>
    <xf borderId="18" fillId="0" fontId="20" numFmtId="49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horizontal="center" shrinkToFit="0" vertical="center" wrapText="1"/>
    </xf>
    <xf borderId="7" fillId="0" fontId="21" numFmtId="165" xfId="0" applyAlignment="1" applyBorder="1" applyFont="1" applyNumberFormat="1">
      <alignment horizontal="center" vertical="center"/>
    </xf>
    <xf borderId="7" fillId="0" fontId="21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center" readingOrder="0" vertical="center"/>
    </xf>
    <xf borderId="18" fillId="18" fontId="22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7" fillId="18" fontId="23" numFmtId="0" xfId="0" applyAlignment="1" applyBorder="1" applyFont="1">
      <alignment horizontal="center" shrinkToFit="0" vertical="center" wrapText="1"/>
    </xf>
    <xf borderId="7" fillId="18" fontId="22" numFmtId="0" xfId="0" applyAlignment="1" applyBorder="1" applyFont="1">
      <alignment horizontal="center" shrinkToFit="0" vertical="center" wrapText="1"/>
    </xf>
    <xf borderId="31" fillId="13" fontId="20" numFmtId="49" xfId="0" applyAlignment="1" applyBorder="1" applyFont="1" applyNumberFormat="1">
      <alignment horizontal="center" shrinkToFit="0" vertical="center" wrapText="1"/>
    </xf>
    <xf borderId="32" fillId="0" fontId="2" numFmtId="0" xfId="0" applyBorder="1" applyFont="1"/>
    <xf quotePrefix="1" borderId="7" fillId="0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center"/>
    </xf>
    <xf borderId="33" fillId="13" fontId="20" numFmtId="49" xfId="0" applyAlignment="1" applyBorder="1" applyFont="1" applyNumberFormat="1">
      <alignment horizontal="center" shrinkToFit="0" vertical="center" wrapText="1"/>
    </xf>
    <xf borderId="34" fillId="0" fontId="2" numFmtId="0" xfId="0" applyBorder="1" applyFont="1"/>
    <xf borderId="0" fillId="0" fontId="15" numFmtId="0" xfId="0" applyAlignment="1" applyFont="1">
      <alignment horizontal="center"/>
    </xf>
    <xf borderId="0" fillId="0" fontId="3" numFmtId="0" xfId="0" applyAlignment="1" applyFont="1">
      <alignment horizontal="center"/>
    </xf>
    <xf borderId="35" fillId="13" fontId="20" numFmtId="49" xfId="0" applyAlignment="1" applyBorder="1" applyFont="1" applyNumberFormat="1">
      <alignment horizontal="center" shrinkToFit="0" vertical="center" wrapText="1"/>
    </xf>
    <xf borderId="18" fillId="18" fontId="20" numFmtId="49" xfId="0" applyAlignment="1" applyBorder="1" applyFont="1" applyNumberFormat="1">
      <alignment horizontal="center" vertical="center"/>
    </xf>
    <xf borderId="7" fillId="0" fontId="15" numFmtId="14" xfId="0" applyAlignment="1" applyBorder="1" applyFont="1" applyNumberFormat="1">
      <alignment horizontal="center" readingOrder="0" vertical="center"/>
    </xf>
    <xf borderId="2" fillId="18" fontId="20" numFmtId="166" xfId="0" applyAlignment="1" applyBorder="1" applyFont="1" applyNumberFormat="1">
      <alignment horizontal="center" vertical="center"/>
    </xf>
    <xf borderId="4" fillId="0" fontId="15" numFmtId="0" xfId="0" applyAlignment="1" applyBorder="1" applyFont="1">
      <alignment horizontal="center" readingOrder="0"/>
    </xf>
    <xf borderId="2" fillId="18" fontId="20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center"/>
    </xf>
    <xf borderId="2" fillId="19" fontId="3" numFmtId="0" xfId="0" applyAlignment="1" applyBorder="1" applyFill="1" applyFont="1">
      <alignment horizontal="center" vertical="center"/>
    </xf>
    <xf borderId="2" fillId="0" fontId="15" numFmtId="0" xfId="0" applyAlignment="1" applyBorder="1" applyFont="1">
      <alignment horizontal="center" readingOrder="0" vertical="center"/>
    </xf>
    <xf borderId="24" fillId="0" fontId="2" numFmtId="0" xfId="0" applyBorder="1" applyFont="1"/>
    <xf borderId="22" fillId="0" fontId="2" numFmtId="0" xfId="0" applyBorder="1" applyFont="1"/>
    <xf borderId="7" fillId="20" fontId="24" numFmtId="0" xfId="0" applyAlignment="1" applyBorder="1" applyFill="1" applyFont="1">
      <alignment horizontal="center" shrinkToFit="0" vertical="center" wrapText="1"/>
    </xf>
    <xf borderId="7" fillId="0" fontId="3" numFmtId="15" xfId="0" applyAlignment="1" applyBorder="1" applyFont="1" applyNumberFormat="1">
      <alignment horizontal="center"/>
    </xf>
    <xf borderId="7" fillId="0" fontId="3" numFmtId="15" xfId="0" applyAlignment="1" applyBorder="1" applyFont="1" applyNumberFormat="1">
      <alignment horizontal="center" vertical="center"/>
    </xf>
    <xf borderId="19" fillId="0" fontId="3" numFmtId="0" xfId="0" applyAlignment="1" applyBorder="1" applyFont="1">
      <alignment horizontal="center" shrinkToFit="0" vertical="center" wrapText="1"/>
    </xf>
    <xf borderId="0" fillId="0" fontId="3" numFmtId="15" xfId="0" applyAlignment="1" applyFont="1" applyNumberFormat="1">
      <alignment horizontal="center"/>
    </xf>
    <xf borderId="7" fillId="0" fontId="3" numFmtId="167" xfId="0" applyAlignment="1" applyBorder="1" applyFont="1" applyNumberFormat="1">
      <alignment horizontal="center" vertical="center"/>
    </xf>
    <xf borderId="7" fillId="0" fontId="3" numFmtId="20" xfId="0" applyAlignment="1" applyBorder="1" applyFont="1" applyNumberFormat="1">
      <alignment horizontal="center" vertical="center"/>
    </xf>
    <xf borderId="7" fillId="0" fontId="15" numFmtId="15" xfId="0" applyAlignment="1" applyBorder="1" applyFont="1" applyNumberFormat="1">
      <alignment horizontal="center" vertical="center"/>
    </xf>
    <xf borderId="7" fillId="0" fontId="15" numFmtId="0" xfId="0" applyAlignment="1" applyBorder="1" applyFont="1">
      <alignment horizontal="center" shrinkToFit="0" vertical="center" wrapText="1"/>
    </xf>
    <xf borderId="7" fillId="0" fontId="15" numFmtId="15" xfId="0" applyAlignment="1" applyBorder="1" applyFont="1" applyNumberFormat="1">
      <alignment horizontal="center"/>
    </xf>
    <xf borderId="7" fillId="0" fontId="15" numFmtId="168" xfId="0" applyAlignment="1" applyBorder="1" applyFont="1" applyNumberFormat="1">
      <alignment horizontal="center" readingOrder="0"/>
    </xf>
    <xf borderId="7" fillId="0" fontId="3" numFmtId="14" xfId="0" applyAlignment="1" applyBorder="1" applyFont="1" applyNumberFormat="1">
      <alignment horizontal="center" readingOrder="0"/>
    </xf>
    <xf borderId="0" fillId="0" fontId="12" numFmtId="0" xfId="0" applyAlignment="1" applyFont="1">
      <alignment horizontal="center"/>
    </xf>
    <xf borderId="7" fillId="0" fontId="12" numFmtId="0" xfId="0" applyAlignment="1" applyBorder="1" applyFont="1">
      <alignment horizontal="center" readingOrder="0"/>
    </xf>
    <xf borderId="7" fillId="0" fontId="12" numFmtId="0" xfId="0" applyAlignment="1" applyBorder="1" applyFont="1">
      <alignment horizontal="center"/>
    </xf>
    <xf borderId="7" fillId="0" fontId="12" numFmtId="0" xfId="0" applyBorder="1" applyFont="1"/>
    <xf borderId="2" fillId="19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7" fillId="21" fontId="3" numFmtId="0" xfId="0" applyAlignment="1" applyBorder="1" applyFill="1" applyFont="1">
      <alignment horizontal="center" shrinkToFit="0" vertical="center" wrapText="1"/>
    </xf>
    <xf borderId="7" fillId="21" fontId="15" numFmtId="0" xfId="0" applyAlignment="1" applyBorder="1" applyFont="1">
      <alignment horizontal="center" readingOrder="0" shrinkToFit="0" vertical="center" wrapText="1"/>
    </xf>
    <xf borderId="7" fillId="0" fontId="25" numFmtId="0" xfId="0" applyAlignment="1" applyBorder="1" applyFont="1">
      <alignment horizontal="center" shrinkToFit="0" vertical="center" wrapText="1"/>
    </xf>
    <xf borderId="7" fillId="0" fontId="25" numFmtId="15" xfId="0" applyAlignment="1" applyBorder="1" applyFont="1" applyNumberFormat="1">
      <alignment horizontal="center" shrinkToFit="0" vertical="center" wrapText="1"/>
    </xf>
    <xf borderId="7" fillId="22" fontId="15" numFmtId="0" xfId="0" applyAlignment="1" applyBorder="1" applyFill="1" applyFont="1">
      <alignment horizontal="center"/>
    </xf>
    <xf borderId="7" fillId="0" fontId="3" numFmtId="15" xfId="0" applyAlignment="1" applyBorder="1" applyFont="1" applyNumberFormat="1">
      <alignment horizontal="center" shrinkToFit="0" vertical="center" wrapText="1"/>
    </xf>
    <xf borderId="19" fillId="0" fontId="3" numFmtId="15" xfId="0" applyAlignment="1" applyBorder="1" applyFont="1" applyNumberFormat="1">
      <alignment horizontal="center" vertical="center"/>
    </xf>
    <xf borderId="19" fillId="0" fontId="3" numFmtId="0" xfId="0" applyAlignment="1" applyBorder="1" applyFont="1">
      <alignment horizontal="center" vertical="center"/>
    </xf>
    <xf borderId="19" fillId="0" fontId="3" numFmtId="15" xfId="0" applyAlignment="1" applyBorder="1" applyFont="1" applyNumberFormat="1">
      <alignment horizontal="center" shrinkToFit="0" vertical="center" wrapText="1"/>
    </xf>
    <xf borderId="7" fillId="0" fontId="25" numFmtId="0" xfId="0" applyAlignment="1" applyBorder="1" applyFont="1">
      <alignment horizontal="center"/>
    </xf>
    <xf borderId="7" fillId="0" fontId="15" numFmtId="0" xfId="0" applyAlignment="1" applyBorder="1" applyFont="1">
      <alignment horizontal="center" shrinkToFit="0" wrapText="1"/>
    </xf>
    <xf borderId="7" fillId="0" fontId="15" numFmtId="165" xfId="0" applyAlignment="1" applyBorder="1" applyFont="1" applyNumberFormat="1">
      <alignment horizontal="center"/>
    </xf>
    <xf borderId="7" fillId="0" fontId="25" numFmtId="15" xfId="0" applyAlignment="1" applyBorder="1" applyFont="1" applyNumberFormat="1">
      <alignment horizontal="center"/>
    </xf>
    <xf borderId="0" fillId="0" fontId="15" numFmtId="15" xfId="0" applyAlignment="1" applyFont="1" applyNumberFormat="1">
      <alignment horizontal="center"/>
    </xf>
    <xf borderId="7" fillId="0" fontId="15" numFmtId="15" xfId="0" applyAlignment="1" applyBorder="1" applyFont="1" applyNumberFormat="1">
      <alignment horizontal="center" readingOrder="0"/>
    </xf>
    <xf borderId="7" fillId="0" fontId="25" numFmtId="0" xfId="0" applyAlignment="1" applyBorder="1" applyFont="1">
      <alignment horizontal="center" readingOrder="0"/>
    </xf>
    <xf borderId="7" fillId="23" fontId="15" numFmtId="0" xfId="0" applyAlignment="1" applyBorder="1" applyFill="1" applyFont="1">
      <alignment horizontal="center"/>
    </xf>
    <xf borderId="7" fillId="23" fontId="15" numFmtId="15" xfId="0" applyAlignment="1" applyBorder="1" applyFont="1" applyNumberFormat="1">
      <alignment horizontal="center" readingOrder="0"/>
    </xf>
    <xf borderId="7" fillId="23" fontId="25" numFmtId="0" xfId="0" applyAlignment="1" applyBorder="1" applyFont="1">
      <alignment horizontal="center"/>
    </xf>
    <xf borderId="7" fillId="23" fontId="25" numFmtId="0" xfId="0" applyAlignment="1" applyBorder="1" applyFont="1">
      <alignment horizontal="center" readingOrder="0"/>
    </xf>
    <xf borderId="7" fillId="23" fontId="15" numFmtId="0" xfId="0" applyAlignment="1" applyBorder="1" applyFont="1">
      <alignment horizontal="center" readingOrder="0"/>
    </xf>
    <xf borderId="7" fillId="0" fontId="25" numFmtId="0" xfId="0" applyAlignment="1" applyBorder="1" applyFont="1">
      <alignment horizontal="center" readingOrder="0" shrinkToFit="0" wrapText="0"/>
    </xf>
    <xf borderId="7" fillId="23" fontId="12" numFmtId="0" xfId="0" applyAlignment="1" applyBorder="1" applyFont="1">
      <alignment horizontal="center"/>
    </xf>
    <xf borderId="7" fillId="0" fontId="25" numFmtId="0" xfId="0" applyAlignment="1" applyBorder="1" applyFont="1">
      <alignment horizontal="center" readingOrder="0"/>
    </xf>
    <xf borderId="7" fillId="23" fontId="25" numFmtId="0" xfId="0" applyAlignment="1" applyBorder="1" applyFont="1">
      <alignment horizontal="center" readingOrder="0"/>
    </xf>
    <xf borderId="7" fillId="23" fontId="12" numFmtId="0" xfId="0" applyBorder="1" applyFont="1"/>
    <xf borderId="7" fillId="23" fontId="25" numFmtId="0" xfId="0" applyAlignment="1" applyBorder="1" applyFont="1">
      <alignment horizontal="center" readingOrder="0" shrinkToFit="0" wrapText="0"/>
    </xf>
    <xf borderId="7" fillId="24" fontId="25" numFmtId="0" xfId="0" applyAlignment="1" applyBorder="1" applyFill="1" applyFont="1">
      <alignment horizontal="center" readingOrder="0"/>
    </xf>
    <xf borderId="7" fillId="23" fontId="15" numFmtId="15" xfId="0" applyAlignment="1" applyBorder="1" applyFont="1" applyNumberFormat="1">
      <alignment horizontal="center"/>
    </xf>
    <xf borderId="7" fillId="24" fontId="25" numFmtId="0" xfId="0" applyAlignment="1" applyBorder="1" applyFont="1">
      <alignment horizontal="center" readingOrder="0"/>
    </xf>
    <xf borderId="0" fillId="0" fontId="25" numFmtId="0" xfId="0" applyAlignment="1" applyFont="1">
      <alignment horizontal="center"/>
    </xf>
    <xf borderId="0" fillId="0" fontId="15" numFmtId="0" xfId="0" applyFont="1"/>
    <xf borderId="7" fillId="21" fontId="3" numFmtId="0" xfId="0" applyAlignment="1" applyBorder="1" applyFont="1">
      <alignment horizontal="center" vertical="center"/>
    </xf>
    <xf borderId="7" fillId="0" fontId="26" numFmtId="0" xfId="0" applyAlignment="1" applyBorder="1" applyFont="1">
      <alignment horizontal="center" vertical="center"/>
    </xf>
    <xf borderId="7" fillId="0" fontId="27" numFmtId="16" xfId="0" applyAlignment="1" applyBorder="1" applyFont="1" applyNumberFormat="1">
      <alignment horizontal="center" vertical="center"/>
    </xf>
    <xf borderId="7" fillId="0" fontId="27" numFmtId="0" xfId="0" applyAlignment="1" applyBorder="1" applyFont="1">
      <alignment horizontal="center" vertical="center"/>
    </xf>
    <xf borderId="7" fillId="0" fontId="27" numFmtId="0" xfId="0" applyAlignment="1" applyBorder="1" applyFont="1">
      <alignment horizontal="center" shrinkToFit="0" vertical="center" wrapText="1"/>
    </xf>
    <xf borderId="7" fillId="0" fontId="26" numFmtId="15" xfId="0" applyAlignment="1" applyBorder="1" applyFont="1" applyNumberFormat="1">
      <alignment horizontal="center" vertical="center"/>
    </xf>
    <xf borderId="7" fillId="0" fontId="26" numFmtId="0" xfId="0" applyAlignment="1" applyBorder="1" applyFont="1">
      <alignment horizontal="center" shrinkToFit="0" vertical="center" wrapText="1"/>
    </xf>
    <xf borderId="7" fillId="0" fontId="28" numFmtId="0" xfId="0" applyAlignment="1" applyBorder="1" applyFont="1">
      <alignment horizontal="center" vertical="center"/>
    </xf>
    <xf borderId="7" fillId="0" fontId="28" numFmtId="15" xfId="0" applyAlignment="1" applyBorder="1" applyFont="1" applyNumberFormat="1">
      <alignment horizontal="center" vertical="center"/>
    </xf>
    <xf borderId="30" fillId="0" fontId="26" numFmtId="0" xfId="0" applyAlignment="1" applyBorder="1" applyFont="1">
      <alignment horizontal="center" vertical="center"/>
    </xf>
    <xf borderId="7" fillId="0" fontId="28" numFmtId="0" xfId="0" applyAlignment="1" applyBorder="1" applyFont="1">
      <alignment horizontal="center"/>
    </xf>
    <xf borderId="7" fillId="0" fontId="29" numFmtId="0" xfId="0" applyAlignment="1" applyBorder="1" applyFont="1">
      <alignment horizontal="center"/>
    </xf>
    <xf borderId="36" fillId="0" fontId="25" numFmtId="0" xfId="0" applyAlignment="1" applyBorder="1" applyFont="1">
      <alignment horizontal="center" readingOrder="0" shrinkToFit="0" wrapText="0"/>
    </xf>
    <xf borderId="36" fillId="0" fontId="25" numFmtId="0" xfId="0" applyAlignment="1" applyBorder="1" applyFont="1">
      <alignment horizontal="left" readingOrder="0" shrinkToFit="0" wrapText="0"/>
    </xf>
    <xf borderId="7" fillId="0" fontId="28" numFmtId="15" xfId="0" applyAlignment="1" applyBorder="1" applyFont="1" applyNumberFormat="1">
      <alignment horizontal="center" readingOrder="0" vertical="center"/>
    </xf>
    <xf borderId="2" fillId="0" fontId="15" numFmtId="0" xfId="0" applyAlignment="1" applyBorder="1" applyFont="1">
      <alignment horizontal="center" vertical="center"/>
    </xf>
    <xf borderId="7" fillId="20" fontId="30" numFmtId="0" xfId="0" applyAlignment="1" applyBorder="1" applyFont="1">
      <alignment horizontal="center" shrinkToFit="0" vertical="center" wrapText="1"/>
    </xf>
    <xf borderId="7" fillId="0" fontId="15" numFmtId="169" xfId="0" applyAlignment="1" applyBorder="1" applyFont="1" applyNumberFormat="1">
      <alignment horizontal="center" vertical="center"/>
    </xf>
    <xf borderId="7" fillId="0" fontId="15" numFmtId="170" xfId="0" applyAlignment="1" applyBorder="1" applyFont="1" applyNumberFormat="1">
      <alignment horizontal="center" vertical="center"/>
    </xf>
    <xf borderId="7" fillId="0" fontId="3" numFmtId="14" xfId="0" applyAlignment="1" applyBorder="1" applyFont="1" applyNumberFormat="1">
      <alignment horizontal="center" vertical="center"/>
    </xf>
    <xf borderId="7" fillId="0" fontId="15" numFmtId="170" xfId="0" applyAlignment="1" applyBorder="1" applyFont="1" applyNumberFormat="1">
      <alignment horizontal="center"/>
    </xf>
    <xf borderId="18" fillId="0" fontId="25" numFmtId="0" xfId="0" applyAlignment="1" applyBorder="1" applyFont="1">
      <alignment horizontal="center"/>
    </xf>
    <xf borderId="7" fillId="15" fontId="25" numFmtId="0" xfId="0" applyAlignment="1" applyBorder="1" applyFont="1">
      <alignment horizontal="center"/>
    </xf>
    <xf borderId="7" fillId="0" fontId="15" numFmtId="169" xfId="0" applyAlignment="1" applyBorder="1" applyFont="1" applyNumberFormat="1">
      <alignment horizontal="center"/>
    </xf>
    <xf borderId="7" fillId="23" fontId="3" numFmtId="0" xfId="0" applyAlignment="1" applyBorder="1" applyFont="1">
      <alignment horizontal="center"/>
    </xf>
    <xf borderId="4" fillId="0" fontId="12" numFmtId="0" xfId="0" applyBorder="1" applyFont="1"/>
    <xf borderId="2" fillId="25" fontId="22" numFmtId="0" xfId="0" applyAlignment="1" applyBorder="1" applyFill="1" applyFont="1">
      <alignment horizontal="center" vertical="center"/>
    </xf>
    <xf borderId="7" fillId="19" fontId="3" numFmtId="0" xfId="0" applyAlignment="1" applyBorder="1" applyFont="1">
      <alignment horizontal="center" vertical="center"/>
    </xf>
    <xf borderId="7" fillId="19" fontId="15" numFmtId="0" xfId="0" applyAlignment="1" applyBorder="1" applyFont="1">
      <alignment horizontal="center" vertical="center"/>
    </xf>
    <xf borderId="7" fillId="19" fontId="3" numFmtId="0" xfId="0" applyAlignment="1" applyBorder="1" applyFont="1">
      <alignment horizontal="center" shrinkToFit="0" vertical="center" wrapText="1"/>
    </xf>
    <xf borderId="7" fillId="26" fontId="3" numFmtId="0" xfId="0" applyAlignment="1" applyBorder="1" applyFill="1" applyFont="1">
      <alignment horizontal="center" vertical="center"/>
    </xf>
    <xf borderId="7" fillId="0" fontId="15" numFmtId="15" xfId="0" applyAlignment="1" applyBorder="1" applyFont="1" applyNumberFormat="1">
      <alignment horizontal="center" shrinkToFit="0" vertical="center" wrapText="1"/>
    </xf>
    <xf borderId="16" fillId="26" fontId="3" numFmtId="0" xfId="0" applyAlignment="1" applyBorder="1" applyFont="1">
      <alignment horizontal="center" vertical="center"/>
    </xf>
    <xf borderId="18" fillId="0" fontId="15" numFmtId="0" xfId="0" applyAlignment="1" applyBorder="1" applyFont="1">
      <alignment horizontal="center"/>
    </xf>
    <xf borderId="18" fillId="0" fontId="3" numFmtId="0" xfId="0" applyBorder="1" applyFont="1"/>
    <xf borderId="2" fillId="0" fontId="15" numFmtId="15" xfId="0" applyAlignment="1" applyBorder="1" applyFont="1" applyNumberFormat="1">
      <alignment horizontal="center"/>
    </xf>
    <xf borderId="7" fillId="0" fontId="15" numFmtId="165" xfId="0" applyAlignment="1" applyBorder="1" applyFont="1" applyNumberFormat="1">
      <alignment horizontal="center" vertical="center"/>
    </xf>
    <xf borderId="7" fillId="0" fontId="15" numFmtId="0" xfId="0" applyBorder="1" applyFont="1"/>
    <xf borderId="7" fillId="0" fontId="12" numFmtId="171" xfId="0" applyAlignment="1" applyBorder="1" applyFont="1" applyNumberFormat="1">
      <alignment horizontal="center" readingOrder="0"/>
    </xf>
    <xf borderId="7" fillId="23" fontId="15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7" fillId="26" fontId="15" numFmtId="0" xfId="0" applyAlignment="1" applyBorder="1" applyFont="1">
      <alignment horizontal="center" vertical="center"/>
    </xf>
    <xf borderId="30" fillId="0" fontId="15" numFmtId="0" xfId="0" applyAlignment="1" applyBorder="1" applyFont="1">
      <alignment horizontal="center" shrinkToFit="0" vertical="center" wrapText="1"/>
    </xf>
    <xf borderId="7" fillId="23" fontId="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 readingOrder="0" shrinkToFit="0" vertical="center" wrapText="1"/>
    </xf>
    <xf borderId="7" fillId="0" fontId="15" numFmtId="15" xfId="0" applyAlignment="1" applyBorder="1" applyFont="1" applyNumberFormat="1">
      <alignment horizontal="center" readingOrder="0" shrinkToFit="0" vertical="center" wrapText="1"/>
    </xf>
    <xf borderId="18" fillId="0" fontId="15" numFmtId="0" xfId="0" applyAlignment="1" applyBorder="1" applyFont="1">
      <alignment horizontal="center" vertical="center"/>
    </xf>
    <xf borderId="16" fillId="23" fontId="3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center" vertical="center"/>
    </xf>
    <xf borderId="7" fillId="27" fontId="19" numFmtId="0" xfId="0" applyAlignment="1" applyBorder="1" applyFill="1" applyFont="1">
      <alignment horizontal="center" vertical="center"/>
    </xf>
    <xf borderId="7" fillId="18" fontId="31" numFmtId="166" xfId="0" applyAlignment="1" applyBorder="1" applyFont="1" applyNumberFormat="1">
      <alignment horizontal="center" readingOrder="0" vertical="center"/>
    </xf>
    <xf borderId="18" fillId="28" fontId="19" numFmtId="0" xfId="0" applyAlignment="1" applyBorder="1" applyFill="1" applyFont="1">
      <alignment horizontal="center" vertical="center"/>
    </xf>
    <xf borderId="9" fillId="18" fontId="32" numFmtId="0" xfId="0" applyAlignment="1" applyBorder="1" applyFont="1">
      <alignment horizontal="center" vertical="center"/>
    </xf>
    <xf borderId="2" fillId="19" fontId="19" numFmtId="0" xfId="0" applyAlignment="1" applyBorder="1" applyFont="1">
      <alignment horizontal="center" shrinkToFit="0" vertical="center" wrapText="1"/>
    </xf>
    <xf borderId="7" fillId="0" fontId="33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7" fillId="18" fontId="34" numFmtId="0" xfId="0" applyAlignment="1" applyBorder="1" applyFont="1">
      <alignment horizontal="center" vertical="center"/>
    </xf>
    <xf borderId="2" fillId="21" fontId="19" numFmtId="0" xfId="0" applyAlignment="1" applyBorder="1" applyFont="1">
      <alignment horizontal="center" vertical="center"/>
    </xf>
    <xf borderId="2" fillId="23" fontId="19" numFmtId="0" xfId="0" applyAlignment="1" applyBorder="1" applyFont="1">
      <alignment horizontal="center" vertical="center"/>
    </xf>
    <xf borderId="7" fillId="29" fontId="19" numFmtId="0" xfId="0" applyAlignment="1" applyBorder="1" applyFill="1" applyFont="1">
      <alignment horizontal="center" shrinkToFit="0" vertical="center" wrapText="1"/>
    </xf>
    <xf borderId="2" fillId="29" fontId="19" numFmtId="0" xfId="0" applyAlignment="1" applyBorder="1" applyFont="1">
      <alignment horizontal="center" shrinkToFit="0" vertical="center" wrapText="1"/>
    </xf>
    <xf borderId="0" fillId="0" fontId="3" numFmtId="15" xfId="0" applyAlignment="1" applyFont="1" applyNumberFormat="1">
      <alignment horizontal="center" vertical="center"/>
    </xf>
    <xf borderId="7" fillId="21" fontId="15" numFmtId="0" xfId="0" applyAlignment="1" applyBorder="1" applyFont="1">
      <alignment horizontal="center" vertical="center"/>
    </xf>
    <xf borderId="7" fillId="0" fontId="3" numFmtId="14" xfId="0" applyAlignment="1" applyBorder="1" applyFont="1" applyNumberFormat="1">
      <alignment horizontal="center" readingOrder="0" vertical="center"/>
    </xf>
    <xf borderId="2" fillId="0" fontId="15" numFmtId="0" xfId="0" applyAlignment="1" applyBorder="1" applyFont="1">
      <alignment horizontal="center" readingOrder="0" shrinkToFit="0" vertical="center" wrapText="1"/>
    </xf>
    <xf borderId="7" fillId="0" fontId="3" numFmtId="15" xfId="0" applyBorder="1" applyFont="1" applyNumberFormat="1"/>
    <xf borderId="0" fillId="0" fontId="3" numFmtId="0" xfId="0" applyAlignment="1" applyFont="1">
      <alignment horizontal="center" vertical="center"/>
    </xf>
    <xf borderId="2" fillId="30" fontId="35" numFmtId="0" xfId="0" applyAlignment="1" applyBorder="1" applyFill="1" applyFont="1">
      <alignment horizontal="center" vertical="center"/>
    </xf>
    <xf borderId="7" fillId="30" fontId="3" numFmtId="0" xfId="0" applyAlignment="1" applyBorder="1" applyFont="1">
      <alignment horizontal="center"/>
    </xf>
    <xf borderId="7" fillId="30" fontId="3" numFmtId="0" xfId="0" applyAlignment="1" applyBorder="1" applyFont="1">
      <alignment horizontal="center" shrinkToFit="0" vertical="center" wrapText="1"/>
    </xf>
    <xf borderId="7" fillId="30" fontId="3" numFmtId="0" xfId="0" applyAlignment="1" applyBorder="1" applyFont="1">
      <alignment horizontal="center" vertical="center"/>
    </xf>
    <xf borderId="7" fillId="0" fontId="36" numFmtId="172" xfId="0" applyAlignment="1" applyBorder="1" applyFont="1" applyNumberFormat="1">
      <alignment horizontal="center" shrinkToFit="0" vertical="center" wrapText="1"/>
    </xf>
    <xf borderId="7" fillId="0" fontId="36" numFmtId="0" xfId="0" applyAlignment="1" applyBorder="1" applyFont="1">
      <alignment horizontal="center" shrinkToFit="0" vertical="center" wrapText="1"/>
    </xf>
    <xf quotePrefix="1" borderId="7" fillId="0" fontId="36" numFmtId="172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8ED873"/>
          <bgColor rgb="FF8ED873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3E5A1"/>
          <bgColor rgb="FFB3E5A1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Preventive Maintenance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Schedule PM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'Statistics PM'!$B$3:$B$19</c:f>
            </c:strRef>
          </c:cat>
          <c:val>
            <c:numRef>
              <c:f>'Statistics PM'!$C$3:$C$19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'Statistics PM'!$B$3:$B$19</c:f>
            </c:strRef>
          </c:cat>
          <c:val>
            <c:numRef>
              <c:f>'Statistics PM'!$D$2:$D$19</c:f>
              <c:numCache/>
            </c:numRef>
          </c:val>
        </c:ser>
        <c:axId val="532519440"/>
        <c:axId val="1532431813"/>
      </c:barChart>
      <c:catAx>
        <c:axId val="532519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2431813"/>
      </c:catAx>
      <c:valAx>
        <c:axId val="1532431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3251944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preventive maintenance</a:t>
            </a:r>
          </a:p>
        </c:rich>
      </c:tx>
      <c:overlay val="0"/>
    </c:title>
    <c:plotArea>
      <c:layout>
        <c:manualLayout>
          <c:xMode val="edge"/>
          <c:yMode val="edge"/>
          <c:x val="0.23286094684222564"/>
          <c:y val="0.2404715803967127"/>
          <c:w val="0.4762755796604263"/>
          <c:h val="0.6272263098260259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206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4285F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4285F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'Statistics PM'!$B$21:$B$22</c:f>
            </c:strRef>
          </c:cat>
          <c:val>
            <c:numRef>
              <c:f>'Statistics PM'!$C$21:$C$22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Preventive Maintenance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'Statistics PM'!$B$27:$B$44</c:f>
            </c:strRef>
          </c:cat>
          <c:val>
            <c:numRef>
              <c:f>'Statistics PM'!$C$27:$C$47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'Statistics PM'!$B$27:$B$44</c:f>
            </c:strRef>
          </c:cat>
          <c:val>
            <c:numRef>
              <c:f>'Statistics PM'!$D$27:$D$47</c:f>
              <c:numCache/>
            </c:numRef>
          </c:val>
        </c:ser>
        <c:axId val="1770870247"/>
        <c:axId val="606157797"/>
      </c:barChart>
      <c:catAx>
        <c:axId val="1770870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6157797"/>
      </c:catAx>
      <c:valAx>
        <c:axId val="60615779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87024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preventive maintenance</a:t>
            </a:r>
          </a:p>
        </c:rich>
      </c:tx>
      <c:overlay val="0"/>
    </c:title>
    <c:plotArea>
      <c:layout>
        <c:manualLayout>
          <c:xMode val="edge"/>
          <c:yMode val="edge"/>
          <c:x val="0.23286094684222564"/>
          <c:y val="0.2404715803967127"/>
          <c:w val="0.4762755796604263"/>
          <c:h val="0.6272263098260259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206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4285F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4285F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'Statistics PM'!$B$48:$B$49</c:f>
            </c:strRef>
          </c:cat>
          <c:val>
            <c:numRef>
              <c:f>'Statistics PM'!$C$48:$C$49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Preventive Maintenance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'Statistics PM'!$B$54:$B$73</c:f>
            </c:strRef>
          </c:cat>
          <c:val>
            <c:numRef>
              <c:f>'Statistics PM'!$C$54:$C$74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'Statistics PM'!$B$54:$B$73</c:f>
            </c:strRef>
          </c:cat>
          <c:val>
            <c:numRef>
              <c:f>'Statistics PM'!$D$54:$D$74</c:f>
              <c:numCache/>
            </c:numRef>
          </c:val>
        </c:ser>
        <c:axId val="948102120"/>
        <c:axId val="1386141543"/>
      </c:barChart>
      <c:catAx>
        <c:axId val="948102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6141543"/>
      </c:catAx>
      <c:valAx>
        <c:axId val="13861415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1021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preventive maintenance</a:t>
            </a:r>
          </a:p>
        </c:rich>
      </c:tx>
      <c:overlay val="0"/>
    </c:title>
    <c:plotArea>
      <c:layout>
        <c:manualLayout>
          <c:xMode val="edge"/>
          <c:yMode val="edge"/>
          <c:x val="0.23286094684222564"/>
          <c:y val="0.2404715803967127"/>
          <c:w val="0.4762755796604263"/>
          <c:h val="0.6272263098260259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206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4285F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4285F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'Statistics PM'!$B$75:$B$76</c:f>
            </c:strRef>
          </c:cat>
          <c:val>
            <c:numRef>
              <c:f>'Statistics PM'!$C$75:$C$76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Preventive Maintenance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'Statistics PM'!$B$81:$B$99</c:f>
            </c:strRef>
          </c:cat>
          <c:val>
            <c:numRef>
              <c:f>'Statistics PM'!$C$81:$C$100</c:f>
              <c:numCache/>
            </c:numRef>
          </c:val>
        </c:ser>
        <c:ser>
          <c:idx val="1"/>
          <c:order val="1"/>
          <c:cat>
            <c:strRef>
              <c:f>'Statistics PM'!$B$81:$B$99</c:f>
            </c:strRef>
          </c:cat>
          <c:val>
            <c:numRef>
              <c:f>'Statistics PM'!$D$81:$D$100</c:f>
              <c:numCache/>
            </c:numRef>
          </c:val>
        </c:ser>
        <c:axId val="162854639"/>
        <c:axId val="1889350100"/>
      </c:barChart>
      <c:catAx>
        <c:axId val="162854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9350100"/>
      </c:catAx>
      <c:valAx>
        <c:axId val="188935010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285463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preventive maintenance</a:t>
            </a:r>
          </a:p>
        </c:rich>
      </c:tx>
      <c:overlay val="0"/>
    </c:title>
    <c:plotArea>
      <c:layout>
        <c:manualLayout>
          <c:xMode val="edge"/>
          <c:yMode val="edge"/>
          <c:x val="0.23286094684222564"/>
          <c:y val="0.2404715803967127"/>
          <c:w val="0.4762755796604263"/>
          <c:h val="0.6272263098260259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206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4285F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4285F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'Statistics PM'!$B$101:$B$102</c:f>
            </c:strRef>
          </c:cat>
          <c:val>
            <c:numRef>
              <c:f>'Statistics PM'!$C$101:$C$102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Corrective Maintenance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'Statistics PM'!$B$106:$B$116</c:f>
            </c:strRef>
          </c:cat>
          <c:val>
            <c:numRef>
              <c:f>'Statistics PM'!$C$106:$C$116</c:f>
              <c:numCache/>
            </c:numRef>
          </c:val>
        </c:ser>
        <c:ser>
          <c:idx val="1"/>
          <c:order val="1"/>
          <c:cat>
            <c:strRef>
              <c:f>'Statistics PM'!$B$106:$B$116</c:f>
            </c:strRef>
          </c:cat>
          <c:val>
            <c:numRef>
              <c:f>'Statistics PM'!$D$106:$D$116</c:f>
              <c:numCache/>
            </c:numRef>
          </c:val>
        </c:ser>
        <c:axId val="1376296211"/>
        <c:axId val="1677209857"/>
      </c:barChart>
      <c:catAx>
        <c:axId val="1376296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7209857"/>
      </c:catAx>
      <c:valAx>
        <c:axId val="167720985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7629621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Corrective Maintenance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'Statistics PM'!$A$119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'Statistics PM'!$B$118</c:f>
            </c:strRef>
          </c:cat>
          <c:val>
            <c:numRef>
              <c:f>'Statistics PM'!$B$119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Preventive Maintenance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'Statistics PM'!$B$130:$B$164</c:f>
            </c:strRef>
          </c:cat>
          <c:val>
            <c:numRef>
              <c:f>'Statistics PM'!$C$130:$C$164</c:f>
              <c:numCache/>
            </c:numRef>
          </c:val>
        </c:ser>
        <c:ser>
          <c:idx val="1"/>
          <c:order val="1"/>
          <c:cat>
            <c:strRef>
              <c:f>'Statistics PM'!$B$130:$B$164</c:f>
            </c:strRef>
          </c:cat>
          <c:val>
            <c:numRef>
              <c:f>'Statistics PM'!$D$130:$D$164</c:f>
              <c:numCache/>
            </c:numRef>
          </c:val>
        </c:ser>
        <c:axId val="1123988094"/>
        <c:axId val="1379206122"/>
      </c:barChart>
      <c:catAx>
        <c:axId val="1123988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9206122"/>
      </c:catAx>
      <c:valAx>
        <c:axId val="137920612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2398809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Preventive Maintenance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'Statistics PM'!$A$167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'Statistics PM'!$B$166</c:f>
            </c:strRef>
          </c:cat>
          <c:val>
            <c:numRef>
              <c:f>'Statistics PM'!$B$167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Corrective maintenance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Schedule CM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cat>
            <c:strRef>
              <c:f>'Statistics CM'!$A$3:$A$11</c:f>
            </c:strRef>
          </c:cat>
          <c:val>
            <c:numRef>
              <c:f>'Statistics CM'!$B$3:$B$11</c:f>
              <c:numCache/>
            </c:numRef>
          </c:val>
        </c:ser>
        <c:ser>
          <c:idx val="1"/>
          <c:order val="1"/>
          <c:tx>
            <c:v>CM Done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cat>
            <c:strRef>
              <c:f>'Statistics CM'!$A$3:$A$11</c:f>
            </c:strRef>
          </c:cat>
          <c:val>
            <c:numRef>
              <c:f>'Statistics CM'!$C$3:$C$11</c:f>
              <c:numCache/>
            </c:numRef>
          </c:val>
        </c:ser>
        <c:axId val="713133301"/>
        <c:axId val="1627620449"/>
      </c:barChart>
      <c:catAx>
        <c:axId val="713133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7620449"/>
      </c:catAx>
      <c:valAx>
        <c:axId val="16276204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1313330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Corrective maintenance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Schedule CM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'Statistics CM'!$A$19:$A$28</c:f>
            </c:strRef>
          </c:cat>
          <c:val>
            <c:numRef>
              <c:f>'Statistics CM'!$B$19:$B$28</c:f>
              <c:numCache/>
            </c:numRef>
          </c:val>
        </c:ser>
        <c:ser>
          <c:idx val="1"/>
          <c:order val="1"/>
          <c:tx>
            <c:v>CM Done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'Statistics CM'!$A$19:$A$28</c:f>
            </c:strRef>
          </c:cat>
          <c:val>
            <c:numRef>
              <c:f>'Statistics CM'!$C$19:$C$28</c:f>
              <c:numCache/>
            </c:numRef>
          </c:val>
        </c:ser>
        <c:axId val="974769972"/>
        <c:axId val="1895247277"/>
      </c:barChart>
      <c:catAx>
        <c:axId val="974769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5247277"/>
      </c:catAx>
      <c:valAx>
        <c:axId val="1895247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476997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Corrective maintenance</a:t>
            </a:r>
          </a:p>
        </c:rich>
      </c:tx>
      <c:overlay val="0"/>
    </c:title>
    <c:plotArea>
      <c:layout>
        <c:manualLayout>
          <c:xMode val="edge"/>
          <c:yMode val="edge"/>
          <c:x val="0.23286094684222564"/>
          <c:y val="0.2404715803967127"/>
          <c:w val="0.4762755796604263"/>
          <c:h val="0.6272263098260259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206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'Statistics CM'!$A$29:$A$30</c:f>
            </c:strRef>
          </c:cat>
          <c:val>
            <c:numRef>
              <c:f>'Statistics CM'!$B$29:$B$30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Corrective maintenance</a:t>
            </a:r>
          </a:p>
        </c:rich>
      </c:tx>
      <c:overlay val="0"/>
    </c:title>
    <c:plotArea>
      <c:layout>
        <c:manualLayout>
          <c:xMode val="edge"/>
          <c:yMode val="edge"/>
          <c:x val="0.23286094684222564"/>
          <c:y val="0.2404715803967127"/>
          <c:w val="0.4762755796604263"/>
          <c:h val="0.6272263098260259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206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'Statistics CM'!$A$13:$A$14</c:f>
            </c:strRef>
          </c:cat>
          <c:val>
            <c:numRef>
              <c:f>'Statistics CM'!$B$13:$B$14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Corrective maintenance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Schedule CM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'Statistics CM'!$A$35:$A$44</c:f>
            </c:strRef>
          </c:cat>
          <c:val>
            <c:numRef>
              <c:f>'Statistics CM'!$B$35:$B$44</c:f>
              <c:numCache/>
            </c:numRef>
          </c:val>
        </c:ser>
        <c:ser>
          <c:idx val="1"/>
          <c:order val="1"/>
          <c:tx>
            <c:v>CM Done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'Statistics CM'!$A$35:$A$44</c:f>
            </c:strRef>
          </c:cat>
          <c:val>
            <c:numRef>
              <c:f>'Statistics CM'!$C$35:$C$44</c:f>
              <c:numCache/>
            </c:numRef>
          </c:val>
        </c:ser>
        <c:axId val="1910262818"/>
        <c:axId val="1677926279"/>
      </c:barChart>
      <c:catAx>
        <c:axId val="1910262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7926279"/>
      </c:catAx>
      <c:valAx>
        <c:axId val="1677926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026281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Corrective maintenance</a:t>
            </a:r>
          </a:p>
        </c:rich>
      </c:tx>
      <c:overlay val="0"/>
    </c:title>
    <c:plotArea>
      <c:layout>
        <c:manualLayout>
          <c:xMode val="edge"/>
          <c:yMode val="edge"/>
          <c:x val="0.23286094684222564"/>
          <c:y val="0.2404715803967127"/>
          <c:w val="0.4762755796604263"/>
          <c:h val="0.6272263098260259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206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'Statistics CM'!$A$45:$A$46</c:f>
            </c:strRef>
          </c:cat>
          <c:val>
            <c:numRef>
              <c:f>'Statistics CM'!$B$45:$B$46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Corrective maintenance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Schedule CM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'Statistics CM'!$A$51:$A$59</c:f>
            </c:strRef>
          </c:cat>
          <c:val>
            <c:numRef>
              <c:f>'Statistics CM'!$B$51:$B$59</c:f>
              <c:numCache/>
            </c:numRef>
          </c:val>
        </c:ser>
        <c:ser>
          <c:idx val="1"/>
          <c:order val="1"/>
          <c:tx>
            <c:v>CM Done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'Statistics CM'!$A$51:$A$59</c:f>
            </c:strRef>
          </c:cat>
          <c:val>
            <c:numRef>
              <c:f>'Statistics CM'!$C$51:$C$59</c:f>
              <c:numCache/>
            </c:numRef>
          </c:val>
        </c:ser>
        <c:axId val="1987873852"/>
        <c:axId val="790770956"/>
      </c:barChart>
      <c:catAx>
        <c:axId val="1987873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0770956"/>
      </c:catAx>
      <c:valAx>
        <c:axId val="790770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787385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Corrective maintenance</a:t>
            </a:r>
          </a:p>
        </c:rich>
      </c:tx>
      <c:overlay val="0"/>
    </c:title>
    <c:plotArea>
      <c:layout>
        <c:manualLayout>
          <c:xMode val="edge"/>
          <c:yMode val="edge"/>
          <c:x val="0.23286094684222564"/>
          <c:y val="0.2404715803967127"/>
          <c:w val="0.4762755796604263"/>
          <c:h val="0.6272263098260259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0206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'Statistics CM'!$A$60:$A$61</c:f>
            </c:strRef>
          </c:cat>
          <c:val>
            <c:numRef>
              <c:f>'Statistics CM'!$B$60:$B$61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Corrective Maintenance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Schedule CM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'Statistics CM'!$A$65:$A$73</c:f>
            </c:strRef>
          </c:cat>
          <c:val>
            <c:numRef>
              <c:f>'Statistics CM'!$B$65:$B$73</c:f>
              <c:numCache/>
            </c:numRef>
          </c:val>
        </c:ser>
        <c:ser>
          <c:idx val="1"/>
          <c:order val="1"/>
          <c:tx>
            <c:v>CM Done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'Statistics CM'!$A$65:$A$73</c:f>
            </c:strRef>
          </c:cat>
          <c:val>
            <c:numRef>
              <c:f>'Statistics CM'!$C$65:$C$73</c:f>
              <c:numCache/>
            </c:numRef>
          </c:val>
        </c:ser>
        <c:axId val="664801618"/>
        <c:axId val="1661466236"/>
      </c:barChart>
      <c:catAx>
        <c:axId val="664801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1466236"/>
      </c:catAx>
      <c:valAx>
        <c:axId val="1661466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480161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Corrective Maintenance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'Statistics CM'!$A$74</c:f>
            </c:strRef>
          </c:cat>
          <c:val>
            <c:numRef>
              <c:f>'Statistics CM'!$A$75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Corrective Maintenance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'Statistics CM'!$A$80:$A$89</c:f>
            </c:strRef>
          </c:cat>
          <c:val>
            <c:numRef>
              <c:f>'Statistics CM'!$B$80:$B$89</c:f>
              <c:numCache/>
            </c:numRef>
          </c:val>
        </c:ser>
        <c:ser>
          <c:idx val="1"/>
          <c:order val="1"/>
          <c:cat>
            <c:strRef>
              <c:f>'Statistics CM'!$A$80:$A$89</c:f>
            </c:strRef>
          </c:cat>
          <c:val>
            <c:numRef>
              <c:f>'Statistics CM'!$C$80:$C$89</c:f>
              <c:numCache/>
            </c:numRef>
          </c:val>
        </c:ser>
        <c:axId val="1671942394"/>
        <c:axId val="1649671518"/>
      </c:barChart>
      <c:catAx>
        <c:axId val="1671942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9671518"/>
      </c:catAx>
      <c:valAx>
        <c:axId val="164967151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7194239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Corrective Maintenance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'Statistics CM'!$A$91</c:f>
            </c:strRef>
          </c:cat>
          <c:val>
            <c:numRef>
              <c:f>'Statistics CM'!$A$92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2" Type="http://schemas.openxmlformats.org/officeDocument/2006/relationships/chart" Target="../charts/chart12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12" Type="http://schemas.openxmlformats.org/officeDocument/2006/relationships/chart" Target="../charts/chart24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</xdr:colOff>
      <xdr:row>1</xdr:row>
      <xdr:rowOff>38100</xdr:rowOff>
    </xdr:from>
    <xdr:ext cx="5276850" cy="4572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628650</xdr:colOff>
      <xdr:row>1</xdr:row>
      <xdr:rowOff>85725</xdr:rowOff>
    </xdr:from>
    <xdr:ext cx="4105275" cy="44958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114300</xdr:colOff>
      <xdr:row>24</xdr:row>
      <xdr:rowOff>85725</xdr:rowOff>
    </xdr:from>
    <xdr:ext cx="5314950" cy="37528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685800</xdr:colOff>
      <xdr:row>24</xdr:row>
      <xdr:rowOff>123825</xdr:rowOff>
    </xdr:from>
    <xdr:ext cx="4038600" cy="36766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95250</xdr:colOff>
      <xdr:row>51</xdr:row>
      <xdr:rowOff>104775</xdr:rowOff>
    </xdr:from>
    <xdr:ext cx="5305425" cy="41148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638175</xdr:colOff>
      <xdr:row>51</xdr:row>
      <xdr:rowOff>142875</xdr:rowOff>
    </xdr:from>
    <xdr:ext cx="4000500" cy="40100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123825</xdr:colOff>
      <xdr:row>78</xdr:row>
      <xdr:rowOff>114300</xdr:rowOff>
    </xdr:from>
    <xdr:ext cx="5353050" cy="39624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13</xdr:col>
      <xdr:colOff>47625</xdr:colOff>
      <xdr:row>78</xdr:row>
      <xdr:rowOff>152400</xdr:rowOff>
    </xdr:from>
    <xdr:ext cx="4000500" cy="38671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142875</xdr:colOff>
      <xdr:row>104</xdr:row>
      <xdr:rowOff>133350</xdr:rowOff>
    </xdr:from>
    <xdr:ext cx="4810125" cy="39909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12</xdr:col>
      <xdr:colOff>295275</xdr:colOff>
      <xdr:row>104</xdr:row>
      <xdr:rowOff>142875</xdr:rowOff>
    </xdr:from>
    <xdr:ext cx="3781425" cy="39909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152400</xdr:colOff>
      <xdr:row>127</xdr:row>
      <xdr:rowOff>76200</xdr:rowOff>
    </xdr:from>
    <xdr:ext cx="6400800" cy="725805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14</xdr:col>
      <xdr:colOff>638175</xdr:colOff>
      <xdr:row>127</xdr:row>
      <xdr:rowOff>104775</xdr:rowOff>
    </xdr:from>
    <xdr:ext cx="2181225" cy="40005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0</xdr:row>
      <xdr:rowOff>133350</xdr:rowOff>
    </xdr:from>
    <xdr:ext cx="4391025" cy="165735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104775</xdr:colOff>
      <xdr:row>16</xdr:row>
      <xdr:rowOff>76200</xdr:rowOff>
    </xdr:from>
    <xdr:ext cx="4381500" cy="208597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342900</xdr:colOff>
      <xdr:row>16</xdr:row>
      <xdr:rowOff>95250</xdr:rowOff>
    </xdr:from>
    <xdr:ext cx="3676650" cy="212407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381000</xdr:colOff>
      <xdr:row>0</xdr:row>
      <xdr:rowOff>152400</xdr:rowOff>
    </xdr:from>
    <xdr:ext cx="3705225" cy="162877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104775</xdr:colOff>
      <xdr:row>32</xdr:row>
      <xdr:rowOff>57150</xdr:rowOff>
    </xdr:from>
    <xdr:ext cx="4448175" cy="230505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342900</xdr:colOff>
      <xdr:row>32</xdr:row>
      <xdr:rowOff>114300</xdr:rowOff>
    </xdr:from>
    <xdr:ext cx="3790950" cy="2276475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133350</xdr:colOff>
      <xdr:row>48</xdr:row>
      <xdr:rowOff>95250</xdr:rowOff>
    </xdr:from>
    <xdr:ext cx="4600575" cy="1895475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590550</xdr:colOff>
      <xdr:row>48</xdr:row>
      <xdr:rowOff>114300</xdr:rowOff>
    </xdr:from>
    <xdr:ext cx="3810000" cy="192405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</xdr:col>
      <xdr:colOff>161925</xdr:colOff>
      <xdr:row>62</xdr:row>
      <xdr:rowOff>76200</xdr:rowOff>
    </xdr:from>
    <xdr:ext cx="4038600" cy="1905000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171450</xdr:colOff>
      <xdr:row>62</xdr:row>
      <xdr:rowOff>57150</xdr:rowOff>
    </xdr:from>
    <xdr:ext cx="4038600" cy="1866900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3</xdr:col>
      <xdr:colOff>171450</xdr:colOff>
      <xdr:row>77</xdr:row>
      <xdr:rowOff>95250</xdr:rowOff>
    </xdr:from>
    <xdr:ext cx="4038600" cy="2447925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47625</xdr:colOff>
      <xdr:row>77</xdr:row>
      <xdr:rowOff>95250</xdr:rowOff>
    </xdr:from>
    <xdr:ext cx="4038600" cy="240030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19050</xdr:rowOff>
    </xdr:from>
    <xdr:ext cx="1704975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0</xdr:row>
      <xdr:rowOff>47625</xdr:rowOff>
    </xdr:from>
    <xdr:ext cx="2228850" cy="647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5"/>
    <col customWidth="1" min="2" max="2" width="96.38"/>
    <col customWidth="1" min="3" max="3" width="25.25"/>
    <col customWidth="1" min="4" max="4" width="19.0"/>
    <col customWidth="1" min="5" max="20" width="9.13"/>
    <col customWidth="1" min="21" max="24" width="12.75"/>
    <col customWidth="1" min="25" max="26" width="14.38"/>
  </cols>
  <sheetData>
    <row r="1" ht="26.25" customHeight="1">
      <c r="A1" s="1" t="s">
        <v>0</v>
      </c>
      <c r="B1" s="2" t="s">
        <v>1</v>
      </c>
      <c r="C1" s="3"/>
      <c r="D1" s="4"/>
      <c r="E1" s="5"/>
    </row>
    <row r="2" ht="30.0" customHeight="1">
      <c r="A2" s="6"/>
      <c r="B2" s="7" t="s">
        <v>2</v>
      </c>
      <c r="C2" s="7" t="s">
        <v>3</v>
      </c>
      <c r="D2" s="7" t="s">
        <v>4</v>
      </c>
      <c r="E2" s="8"/>
    </row>
    <row r="3" ht="13.5" customHeight="1">
      <c r="A3" s="9" t="s">
        <v>5</v>
      </c>
      <c r="B3" s="10" t="s">
        <v>6</v>
      </c>
      <c r="C3" s="11">
        <v>4.0</v>
      </c>
      <c r="D3" s="12">
        <v>4.0</v>
      </c>
      <c r="E3" s="8"/>
    </row>
    <row r="4" ht="13.5" customHeight="1">
      <c r="A4" s="9" t="s">
        <v>5</v>
      </c>
      <c r="B4" s="10" t="s">
        <v>7</v>
      </c>
      <c r="C4" s="11">
        <v>4.0</v>
      </c>
      <c r="D4" s="12">
        <v>4.0</v>
      </c>
      <c r="E4" s="8"/>
    </row>
    <row r="5" ht="13.5" customHeight="1">
      <c r="A5" s="9" t="s">
        <v>5</v>
      </c>
      <c r="B5" s="10" t="s">
        <v>8</v>
      </c>
      <c r="C5" s="11">
        <v>4.0</v>
      </c>
      <c r="D5" s="12">
        <v>4.0</v>
      </c>
      <c r="E5" s="8"/>
    </row>
    <row r="6" ht="21.75" customHeight="1">
      <c r="A6" s="9" t="s">
        <v>9</v>
      </c>
      <c r="B6" s="10" t="s">
        <v>10</v>
      </c>
      <c r="C6" s="11">
        <v>4.0</v>
      </c>
      <c r="D6" s="12">
        <v>4.0</v>
      </c>
      <c r="E6" s="8"/>
    </row>
    <row r="7" ht="13.5" customHeight="1">
      <c r="A7" s="9" t="s">
        <v>9</v>
      </c>
      <c r="B7" s="10" t="s">
        <v>11</v>
      </c>
      <c r="C7" s="11">
        <v>4.0</v>
      </c>
      <c r="D7" s="12">
        <v>4.0</v>
      </c>
      <c r="E7" s="8"/>
    </row>
    <row r="8" ht="13.5" customHeight="1">
      <c r="A8" s="9" t="s">
        <v>9</v>
      </c>
      <c r="B8" s="10" t="s">
        <v>12</v>
      </c>
      <c r="C8" s="11">
        <v>4.0</v>
      </c>
      <c r="D8" s="12">
        <v>4.0</v>
      </c>
      <c r="E8" s="8"/>
    </row>
    <row r="9" ht="13.5" customHeight="1">
      <c r="A9" s="9" t="s">
        <v>9</v>
      </c>
      <c r="B9" s="10" t="s">
        <v>13</v>
      </c>
      <c r="C9" s="11">
        <v>4.0</v>
      </c>
      <c r="D9" s="12">
        <v>4.0</v>
      </c>
      <c r="E9" s="8"/>
    </row>
    <row r="10" ht="13.5" customHeight="1">
      <c r="A10" s="9" t="s">
        <v>9</v>
      </c>
      <c r="B10" s="10" t="s">
        <v>14</v>
      </c>
      <c r="C10" s="11">
        <v>1.0</v>
      </c>
      <c r="D10" s="12">
        <v>1.0</v>
      </c>
      <c r="E10" s="8"/>
    </row>
    <row r="11" ht="13.5" customHeight="1">
      <c r="A11" s="9" t="s">
        <v>9</v>
      </c>
      <c r="B11" s="10" t="s">
        <v>15</v>
      </c>
      <c r="C11" s="11">
        <v>1.0</v>
      </c>
      <c r="D11" s="12">
        <v>1.0</v>
      </c>
      <c r="E11" s="8"/>
    </row>
    <row r="12" ht="13.5" customHeight="1">
      <c r="A12" s="9" t="s">
        <v>9</v>
      </c>
      <c r="B12" s="10" t="s">
        <v>16</v>
      </c>
      <c r="C12" s="11">
        <v>4.0</v>
      </c>
      <c r="D12" s="12">
        <v>4.0</v>
      </c>
      <c r="E12" s="8"/>
    </row>
    <row r="13" ht="13.5" customHeight="1">
      <c r="A13" s="9" t="s">
        <v>5</v>
      </c>
      <c r="B13" s="10" t="s">
        <v>17</v>
      </c>
      <c r="C13" s="11">
        <v>9.0</v>
      </c>
      <c r="D13" s="12">
        <v>9.0</v>
      </c>
      <c r="E13" s="8"/>
    </row>
    <row r="14" ht="13.5" customHeight="1">
      <c r="A14" s="9" t="s">
        <v>5</v>
      </c>
      <c r="B14" s="10" t="s">
        <v>18</v>
      </c>
      <c r="C14" s="11">
        <v>8.0</v>
      </c>
      <c r="D14" s="12">
        <v>4.0</v>
      </c>
      <c r="E14" s="8"/>
    </row>
    <row r="15" ht="13.5" customHeight="1">
      <c r="A15" s="9" t="s">
        <v>5</v>
      </c>
      <c r="B15" s="10" t="s">
        <v>19</v>
      </c>
      <c r="C15" s="12">
        <v>83.0</v>
      </c>
      <c r="D15" s="12">
        <v>83.0</v>
      </c>
      <c r="E15" s="8"/>
    </row>
    <row r="16" ht="13.5" customHeight="1">
      <c r="A16" s="9" t="s">
        <v>5</v>
      </c>
      <c r="B16" s="10" t="s">
        <v>20</v>
      </c>
      <c r="C16" s="11">
        <v>8.0</v>
      </c>
      <c r="D16" s="12">
        <v>4.0</v>
      </c>
      <c r="E16" s="8"/>
    </row>
    <row r="17" ht="13.5" customHeight="1">
      <c r="A17" s="9" t="s">
        <v>9</v>
      </c>
      <c r="B17" s="10" t="s">
        <v>21</v>
      </c>
      <c r="C17" s="11">
        <v>3.0</v>
      </c>
      <c r="D17" s="12">
        <v>3.0</v>
      </c>
      <c r="E17" s="8"/>
    </row>
    <row r="18" ht="13.5" customHeight="1">
      <c r="A18" s="9" t="s">
        <v>22</v>
      </c>
      <c r="B18" s="10" t="s">
        <v>23</v>
      </c>
      <c r="C18" s="11" t="s">
        <v>24</v>
      </c>
      <c r="D18" s="12" t="s">
        <v>24</v>
      </c>
      <c r="E18" s="8"/>
      <c r="U18" s="13"/>
      <c r="V18" s="13"/>
      <c r="W18" s="13"/>
      <c r="X18" s="13"/>
    </row>
    <row r="19" ht="13.5" customHeight="1">
      <c r="A19" s="9" t="s">
        <v>9</v>
      </c>
      <c r="B19" s="10" t="s">
        <v>25</v>
      </c>
      <c r="C19" s="11">
        <v>4.0</v>
      </c>
      <c r="D19" s="12">
        <v>4.0</v>
      </c>
      <c r="E19" s="8"/>
    </row>
    <row r="20" ht="17.25" customHeight="1">
      <c r="A20" s="14"/>
      <c r="B20" s="15" t="s">
        <v>26</v>
      </c>
      <c r="C20" s="16">
        <v>149.0</v>
      </c>
      <c r="D20" s="16">
        <v>141.0</v>
      </c>
      <c r="E20" s="8"/>
    </row>
    <row r="21" ht="19.5" customHeight="1">
      <c r="A21" s="14"/>
      <c r="B21" s="15" t="s">
        <v>27</v>
      </c>
      <c r="C21" s="17">
        <f>D20/C20</f>
        <v>0.9463087248</v>
      </c>
      <c r="D21" s="4"/>
      <c r="E21" s="8"/>
    </row>
    <row r="22" ht="19.5" customHeight="1">
      <c r="A22" s="14"/>
      <c r="B22" s="15" t="s">
        <v>28</v>
      </c>
      <c r="C22" s="17">
        <f>1-C21</f>
        <v>0.05369127517</v>
      </c>
      <c r="D22" s="4"/>
      <c r="E22" s="8"/>
    </row>
    <row r="23" ht="13.5" customHeight="1">
      <c r="A23" s="18"/>
      <c r="B23" s="19"/>
      <c r="C23" s="19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ht="13.5" customHeight="1">
      <c r="A24" s="22"/>
      <c r="B24" s="23"/>
      <c r="C24" s="23"/>
      <c r="D24" s="24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ht="34.5" customHeight="1">
      <c r="A25" s="25" t="s">
        <v>0</v>
      </c>
      <c r="B25" s="26" t="s">
        <v>29</v>
      </c>
      <c r="C25" s="3"/>
      <c r="D25" s="4"/>
      <c r="E25" s="5"/>
    </row>
    <row r="26" ht="29.25" customHeight="1">
      <c r="A26" s="6"/>
      <c r="B26" s="27" t="s">
        <v>2</v>
      </c>
      <c r="C26" s="27" t="s">
        <v>3</v>
      </c>
      <c r="D26" s="27" t="s">
        <v>4</v>
      </c>
      <c r="E26" s="8"/>
    </row>
    <row r="27">
      <c r="A27" s="9" t="s">
        <v>5</v>
      </c>
      <c r="B27" s="10" t="s">
        <v>6</v>
      </c>
      <c r="C27" s="12">
        <v>7.0</v>
      </c>
      <c r="D27" s="12">
        <v>7.0</v>
      </c>
      <c r="E27" s="8"/>
    </row>
    <row r="28">
      <c r="A28" s="9" t="s">
        <v>5</v>
      </c>
      <c r="B28" s="10" t="s">
        <v>7</v>
      </c>
      <c r="C28" s="12">
        <v>7.0</v>
      </c>
      <c r="D28" s="12">
        <v>7.0</v>
      </c>
      <c r="E28" s="8"/>
    </row>
    <row r="29">
      <c r="A29" s="9" t="s">
        <v>5</v>
      </c>
      <c r="B29" s="10" t="s">
        <v>8</v>
      </c>
      <c r="C29" s="12">
        <v>7.0</v>
      </c>
      <c r="D29" s="12">
        <v>7.0</v>
      </c>
      <c r="E29" s="8"/>
    </row>
    <row r="30">
      <c r="A30" s="9" t="s">
        <v>9</v>
      </c>
      <c r="B30" s="10" t="s">
        <v>10</v>
      </c>
      <c r="C30" s="12">
        <v>7.0</v>
      </c>
      <c r="D30" s="12">
        <v>7.0</v>
      </c>
      <c r="E30" s="8"/>
    </row>
    <row r="31">
      <c r="A31" s="9" t="s">
        <v>9</v>
      </c>
      <c r="B31" s="10" t="s">
        <v>11</v>
      </c>
      <c r="C31" s="12">
        <v>7.0</v>
      </c>
      <c r="D31" s="12">
        <v>7.0</v>
      </c>
      <c r="E31" s="8"/>
    </row>
    <row r="32">
      <c r="A32" s="9" t="s">
        <v>9</v>
      </c>
      <c r="B32" s="10" t="s">
        <v>12</v>
      </c>
      <c r="C32" s="12">
        <v>7.0</v>
      </c>
      <c r="D32" s="12">
        <v>7.0</v>
      </c>
      <c r="E32" s="8"/>
    </row>
    <row r="33">
      <c r="A33" s="9" t="s">
        <v>9</v>
      </c>
      <c r="B33" s="10" t="s">
        <v>13</v>
      </c>
      <c r="C33" s="12">
        <v>7.0</v>
      </c>
      <c r="D33" s="12">
        <v>7.0</v>
      </c>
      <c r="E33" s="8"/>
    </row>
    <row r="34" ht="13.5" customHeight="1">
      <c r="A34" s="9" t="s">
        <v>9</v>
      </c>
      <c r="B34" s="10" t="s">
        <v>14</v>
      </c>
      <c r="C34" s="12">
        <v>1.0</v>
      </c>
      <c r="D34" s="12">
        <v>1.0</v>
      </c>
      <c r="E34" s="8"/>
    </row>
    <row r="35" ht="13.5" customHeight="1">
      <c r="A35" s="9" t="s">
        <v>9</v>
      </c>
      <c r="B35" s="10" t="s">
        <v>15</v>
      </c>
      <c r="C35" s="12">
        <v>1.0</v>
      </c>
      <c r="D35" s="12">
        <v>1.0</v>
      </c>
      <c r="E35" s="8"/>
    </row>
    <row r="36">
      <c r="A36" s="9" t="s">
        <v>9</v>
      </c>
      <c r="B36" s="10" t="s">
        <v>16</v>
      </c>
      <c r="C36" s="12">
        <v>6.0</v>
      </c>
      <c r="D36" s="12">
        <v>6.0</v>
      </c>
      <c r="E36" s="8"/>
    </row>
    <row r="37">
      <c r="A37" s="9" t="s">
        <v>5</v>
      </c>
      <c r="B37" s="10" t="s">
        <v>17</v>
      </c>
      <c r="C37" s="12">
        <v>9.0</v>
      </c>
      <c r="D37" s="12">
        <v>9.0</v>
      </c>
      <c r="E37" s="8"/>
    </row>
    <row r="38">
      <c r="A38" s="9" t="s">
        <v>5</v>
      </c>
      <c r="B38" s="10" t="s">
        <v>18</v>
      </c>
      <c r="C38" s="12">
        <v>14.0</v>
      </c>
      <c r="D38" s="12">
        <v>7.0</v>
      </c>
      <c r="E38" s="8"/>
    </row>
    <row r="39">
      <c r="A39" s="9" t="s">
        <v>5</v>
      </c>
      <c r="B39" s="10" t="s">
        <v>19</v>
      </c>
      <c r="C39" s="12">
        <v>140.0</v>
      </c>
      <c r="D39" s="12">
        <v>140.0</v>
      </c>
      <c r="E39" s="8"/>
    </row>
    <row r="40">
      <c r="A40" s="9" t="s">
        <v>5</v>
      </c>
      <c r="B40" s="10" t="s">
        <v>20</v>
      </c>
      <c r="C40" s="28">
        <v>14.0</v>
      </c>
      <c r="D40" s="12">
        <v>7.0</v>
      </c>
      <c r="E40" s="8"/>
    </row>
    <row r="41">
      <c r="A41" s="29" t="s">
        <v>22</v>
      </c>
      <c r="B41" s="10" t="s">
        <v>30</v>
      </c>
      <c r="C41" s="28" t="s">
        <v>24</v>
      </c>
      <c r="D41" s="28" t="s">
        <v>24</v>
      </c>
      <c r="E41" s="8"/>
      <c r="U41" s="13"/>
      <c r="V41" s="13"/>
      <c r="W41" s="13"/>
      <c r="X41" s="13"/>
    </row>
    <row r="42">
      <c r="A42" s="9" t="s">
        <v>22</v>
      </c>
      <c r="B42" s="10" t="s">
        <v>31</v>
      </c>
      <c r="C42" s="28" t="s">
        <v>24</v>
      </c>
      <c r="D42" s="28" t="s">
        <v>24</v>
      </c>
      <c r="E42" s="8"/>
    </row>
    <row r="43" ht="13.5" customHeight="1">
      <c r="A43" s="9" t="s">
        <v>32</v>
      </c>
      <c r="B43" s="10" t="s">
        <v>33</v>
      </c>
      <c r="C43" s="28">
        <v>3.0</v>
      </c>
      <c r="D43" s="28">
        <v>3.0</v>
      </c>
      <c r="E43" s="8"/>
    </row>
    <row r="44" ht="13.5" customHeight="1">
      <c r="A44" s="9" t="s">
        <v>9</v>
      </c>
      <c r="B44" s="10" t="s">
        <v>34</v>
      </c>
      <c r="C44" s="28">
        <v>1.0</v>
      </c>
      <c r="D44" s="12">
        <v>1.0</v>
      </c>
      <c r="E44" s="8"/>
    </row>
    <row r="45" ht="13.5" customHeight="1">
      <c r="A45" s="9" t="s">
        <v>32</v>
      </c>
      <c r="B45" s="30" t="s">
        <v>35</v>
      </c>
      <c r="C45" s="28">
        <v>2.0</v>
      </c>
      <c r="D45" s="12">
        <v>2.0</v>
      </c>
      <c r="E45" s="8"/>
    </row>
    <row r="46">
      <c r="A46" s="9" t="s">
        <v>9</v>
      </c>
      <c r="B46" s="30" t="s">
        <v>36</v>
      </c>
      <c r="C46" s="28">
        <v>2.0</v>
      </c>
      <c r="D46" s="12">
        <v>2.0</v>
      </c>
      <c r="E46" s="8"/>
    </row>
    <row r="47">
      <c r="A47" s="31"/>
      <c r="B47" s="32" t="s">
        <v>26</v>
      </c>
      <c r="C47" s="16">
        <v>242.0</v>
      </c>
      <c r="D47" s="33">
        <f>SUM(D27:D46)</f>
        <v>228</v>
      </c>
      <c r="E47" s="8"/>
    </row>
    <row r="48">
      <c r="A48" s="34"/>
      <c r="B48" s="14" t="s">
        <v>27</v>
      </c>
      <c r="C48" s="17">
        <f>D47/C47</f>
        <v>0.9421487603</v>
      </c>
      <c r="D48" s="4"/>
      <c r="E48" s="8"/>
    </row>
    <row r="49">
      <c r="A49" s="6"/>
      <c r="B49" s="14" t="s">
        <v>28</v>
      </c>
      <c r="C49" s="17">
        <f>1-C48</f>
        <v>0.05785123967</v>
      </c>
      <c r="D49" s="4"/>
      <c r="E49" s="8"/>
    </row>
    <row r="50" ht="13.5" customHeight="1">
      <c r="A50" s="35"/>
      <c r="B50" s="36"/>
      <c r="C50" s="19"/>
      <c r="D50" s="20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</row>
    <row r="51" ht="13.5" customHeight="1">
      <c r="A51" s="37"/>
      <c r="B51" s="22"/>
      <c r="C51" s="23"/>
      <c r="D51" s="24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ht="18.75" customHeight="1">
      <c r="A52" s="38"/>
      <c r="B52" s="39" t="s">
        <v>37</v>
      </c>
      <c r="C52" s="3"/>
      <c r="D52" s="4"/>
      <c r="E52" s="5"/>
    </row>
    <row r="53" ht="23.25" customHeight="1">
      <c r="A53" s="6"/>
      <c r="B53" s="40" t="s">
        <v>2</v>
      </c>
      <c r="C53" s="40" t="s">
        <v>3</v>
      </c>
      <c r="D53" s="40" t="s">
        <v>4</v>
      </c>
      <c r="E53" s="8"/>
    </row>
    <row r="54" ht="13.5" customHeight="1">
      <c r="A54" s="9" t="s">
        <v>5</v>
      </c>
      <c r="B54" s="10" t="s">
        <v>6</v>
      </c>
      <c r="C54" s="12">
        <v>7.0</v>
      </c>
      <c r="D54" s="12">
        <v>4.0</v>
      </c>
      <c r="E54" s="8"/>
    </row>
    <row r="55" ht="13.5" customHeight="1">
      <c r="A55" s="9" t="s">
        <v>5</v>
      </c>
      <c r="B55" s="10" t="s">
        <v>7</v>
      </c>
      <c r="C55" s="12">
        <v>7.0</v>
      </c>
      <c r="D55" s="12">
        <v>4.0</v>
      </c>
      <c r="E55" s="8"/>
    </row>
    <row r="56" ht="13.5" customHeight="1">
      <c r="A56" s="9" t="s">
        <v>5</v>
      </c>
      <c r="B56" s="10" t="s">
        <v>8</v>
      </c>
      <c r="C56" s="12">
        <v>7.0</v>
      </c>
      <c r="D56" s="12">
        <v>2.0</v>
      </c>
      <c r="E56" s="8"/>
    </row>
    <row r="57" ht="13.5" customHeight="1">
      <c r="A57" s="9" t="s">
        <v>9</v>
      </c>
      <c r="B57" s="10" t="s">
        <v>10</v>
      </c>
      <c r="C57" s="12">
        <v>7.0</v>
      </c>
      <c r="D57" s="12">
        <v>3.0</v>
      </c>
      <c r="E57" s="8"/>
    </row>
    <row r="58" ht="13.5" customHeight="1">
      <c r="A58" s="9" t="s">
        <v>9</v>
      </c>
      <c r="B58" s="10" t="s">
        <v>11</v>
      </c>
      <c r="C58" s="12">
        <v>7.0</v>
      </c>
      <c r="D58" s="12">
        <v>3.0</v>
      </c>
      <c r="E58" s="8"/>
    </row>
    <row r="59" ht="13.5" customHeight="1">
      <c r="A59" s="9" t="s">
        <v>9</v>
      </c>
      <c r="B59" s="10" t="s">
        <v>12</v>
      </c>
      <c r="C59" s="12">
        <v>7.0</v>
      </c>
      <c r="D59" s="12">
        <v>3.0</v>
      </c>
      <c r="E59" s="8"/>
    </row>
    <row r="60" ht="13.5" customHeight="1">
      <c r="A60" s="9" t="s">
        <v>9</v>
      </c>
      <c r="B60" s="10" t="s">
        <v>13</v>
      </c>
      <c r="C60" s="12">
        <v>7.0</v>
      </c>
      <c r="D60" s="12">
        <v>3.0</v>
      </c>
      <c r="E60" s="8"/>
    </row>
    <row r="61" ht="13.5" customHeight="1">
      <c r="A61" s="9" t="s">
        <v>9</v>
      </c>
      <c r="B61" s="10" t="s">
        <v>14</v>
      </c>
      <c r="C61" s="12">
        <v>1.0</v>
      </c>
      <c r="D61" s="11"/>
      <c r="E61" s="8"/>
    </row>
    <row r="62" ht="13.5" customHeight="1">
      <c r="A62" s="9" t="s">
        <v>9</v>
      </c>
      <c r="B62" s="10" t="s">
        <v>15</v>
      </c>
      <c r="C62" s="12">
        <v>1.0</v>
      </c>
      <c r="D62" s="11"/>
      <c r="E62" s="8"/>
    </row>
    <row r="63" ht="13.5" customHeight="1">
      <c r="A63" s="9" t="s">
        <v>9</v>
      </c>
      <c r="B63" s="10" t="s">
        <v>16</v>
      </c>
      <c r="C63" s="12">
        <v>6.0</v>
      </c>
      <c r="D63" s="12">
        <v>2.0</v>
      </c>
      <c r="E63" s="8"/>
    </row>
    <row r="64" ht="13.5" customHeight="1">
      <c r="A64" s="9" t="s">
        <v>5</v>
      </c>
      <c r="B64" s="10" t="s">
        <v>17</v>
      </c>
      <c r="C64" s="12">
        <v>9.0</v>
      </c>
      <c r="D64" s="11"/>
      <c r="E64" s="8"/>
    </row>
    <row r="65" ht="13.5" customHeight="1">
      <c r="A65" s="9" t="s">
        <v>5</v>
      </c>
      <c r="B65" s="10" t="s">
        <v>18</v>
      </c>
      <c r="C65" s="12">
        <v>14.0</v>
      </c>
      <c r="D65" s="12">
        <v>3.0</v>
      </c>
      <c r="E65" s="8"/>
    </row>
    <row r="66" ht="13.5" customHeight="1">
      <c r="A66" s="9" t="s">
        <v>5</v>
      </c>
      <c r="B66" s="10" t="s">
        <v>19</v>
      </c>
      <c r="C66" s="28">
        <v>142.0</v>
      </c>
      <c r="D66" s="12">
        <v>60.0</v>
      </c>
      <c r="E66" s="8"/>
    </row>
    <row r="67" ht="13.5" customHeight="1">
      <c r="A67" s="9" t="s">
        <v>5</v>
      </c>
      <c r="B67" s="10" t="s">
        <v>20</v>
      </c>
      <c r="C67" s="28">
        <v>14.0</v>
      </c>
      <c r="D67" s="12">
        <v>3.0</v>
      </c>
      <c r="E67" s="8"/>
    </row>
    <row r="68" ht="13.5" customHeight="1">
      <c r="A68" s="9" t="s">
        <v>9</v>
      </c>
      <c r="B68" s="30" t="s">
        <v>38</v>
      </c>
      <c r="C68" s="28">
        <v>1.0</v>
      </c>
      <c r="D68" s="12">
        <v>1.0</v>
      </c>
      <c r="E68" s="8"/>
      <c r="U68" s="13"/>
      <c r="V68" s="13"/>
      <c r="W68" s="13"/>
      <c r="X68" s="13"/>
    </row>
    <row r="69" ht="13.5" customHeight="1">
      <c r="A69" s="9" t="s">
        <v>9</v>
      </c>
      <c r="B69" s="30" t="s">
        <v>39</v>
      </c>
      <c r="C69" s="28">
        <v>3.0</v>
      </c>
      <c r="D69" s="11"/>
      <c r="E69" s="8"/>
      <c r="U69" s="13"/>
      <c r="V69" s="13"/>
      <c r="W69" s="13"/>
      <c r="X69" s="13"/>
    </row>
    <row r="70" ht="13.5" customHeight="1">
      <c r="A70" s="9" t="s">
        <v>5</v>
      </c>
      <c r="B70" s="30" t="s">
        <v>40</v>
      </c>
      <c r="C70" s="28">
        <v>70.0</v>
      </c>
      <c r="D70" s="11"/>
      <c r="E70" s="8"/>
    </row>
    <row r="71">
      <c r="A71" s="9" t="s">
        <v>22</v>
      </c>
      <c r="B71" s="30" t="s">
        <v>41</v>
      </c>
      <c r="C71" s="28" t="s">
        <v>42</v>
      </c>
      <c r="D71" s="11"/>
      <c r="E71" s="8"/>
    </row>
    <row r="72" ht="13.5" customHeight="1">
      <c r="A72" s="9" t="s">
        <v>32</v>
      </c>
      <c r="B72" s="30" t="s">
        <v>43</v>
      </c>
      <c r="C72" s="28" t="s">
        <v>24</v>
      </c>
      <c r="D72" s="11"/>
      <c r="E72" s="8"/>
    </row>
    <row r="73" ht="13.5" customHeight="1">
      <c r="A73" s="9" t="s">
        <v>5</v>
      </c>
      <c r="B73" s="30" t="s">
        <v>44</v>
      </c>
      <c r="C73" s="28" t="s">
        <v>24</v>
      </c>
      <c r="D73" s="11"/>
      <c r="E73" s="8"/>
    </row>
    <row r="74">
      <c r="A74" s="41"/>
      <c r="B74" s="32" t="s">
        <v>26</v>
      </c>
      <c r="C74" s="33">
        <f t="shared" ref="C74:D74" si="1">SUM(C53:C73)</f>
        <v>310</v>
      </c>
      <c r="D74" s="33">
        <f t="shared" si="1"/>
        <v>91</v>
      </c>
      <c r="E74" s="8"/>
    </row>
    <row r="75">
      <c r="A75" s="41"/>
      <c r="B75" s="14" t="s">
        <v>27</v>
      </c>
      <c r="C75" s="17">
        <f>D74/C74</f>
        <v>0.2935483871</v>
      </c>
      <c r="D75" s="4"/>
      <c r="E75" s="8"/>
    </row>
    <row r="76">
      <c r="A76" s="41"/>
      <c r="B76" s="14" t="s">
        <v>28</v>
      </c>
      <c r="C76" s="17">
        <f>1-C75</f>
        <v>0.7064516129</v>
      </c>
      <c r="D76" s="4"/>
      <c r="E76" s="8"/>
    </row>
    <row r="77" ht="13.5" customHeight="1">
      <c r="A77" s="42"/>
      <c r="B77" s="43"/>
      <c r="C77" s="19"/>
      <c r="D77" s="19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ht="13.5" customHeight="1">
      <c r="B78" s="23"/>
      <c r="C78" s="23"/>
      <c r="D78" s="23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ht="22.5" customHeight="1">
      <c r="A79" s="44"/>
      <c r="B79" s="45" t="s">
        <v>45</v>
      </c>
      <c r="C79" s="3"/>
      <c r="D79" s="4"/>
      <c r="E79" s="5"/>
    </row>
    <row r="80" ht="18.0" customHeight="1">
      <c r="A80" s="44"/>
      <c r="B80" s="46" t="s">
        <v>2</v>
      </c>
      <c r="C80" s="46" t="s">
        <v>3</v>
      </c>
      <c r="D80" s="46" t="s">
        <v>4</v>
      </c>
      <c r="E80" s="8"/>
    </row>
    <row r="81" ht="13.5" customHeight="1">
      <c r="A81" s="9" t="s">
        <v>5</v>
      </c>
      <c r="B81" s="10" t="s">
        <v>6</v>
      </c>
      <c r="C81" s="11"/>
      <c r="D81" s="11"/>
      <c r="E81" s="8"/>
    </row>
    <row r="82" ht="13.5" customHeight="1">
      <c r="A82" s="9" t="s">
        <v>5</v>
      </c>
      <c r="B82" s="10" t="s">
        <v>7</v>
      </c>
      <c r="C82" s="11"/>
      <c r="D82" s="11"/>
      <c r="E82" s="8"/>
    </row>
    <row r="83" ht="13.5" customHeight="1">
      <c r="A83" s="9" t="s">
        <v>5</v>
      </c>
      <c r="B83" s="10" t="s">
        <v>8</v>
      </c>
      <c r="C83" s="11"/>
      <c r="D83" s="11"/>
      <c r="E83" s="8"/>
    </row>
    <row r="84" ht="13.5" customHeight="1">
      <c r="A84" s="9" t="s">
        <v>9</v>
      </c>
      <c r="B84" s="10" t="s">
        <v>10</v>
      </c>
      <c r="C84" s="11"/>
      <c r="D84" s="11"/>
      <c r="E84" s="8"/>
    </row>
    <row r="85" ht="13.5" customHeight="1">
      <c r="A85" s="9" t="s">
        <v>9</v>
      </c>
      <c r="B85" s="10" t="s">
        <v>11</v>
      </c>
      <c r="C85" s="11"/>
      <c r="D85" s="11"/>
      <c r="E85" s="8"/>
    </row>
    <row r="86" ht="13.5" customHeight="1">
      <c r="A86" s="9" t="s">
        <v>9</v>
      </c>
      <c r="B86" s="10" t="s">
        <v>12</v>
      </c>
      <c r="C86" s="11"/>
      <c r="D86" s="11"/>
      <c r="E86" s="8"/>
    </row>
    <row r="87" ht="13.5" customHeight="1">
      <c r="A87" s="9" t="s">
        <v>9</v>
      </c>
      <c r="B87" s="10" t="s">
        <v>13</v>
      </c>
      <c r="C87" s="11"/>
      <c r="D87" s="11"/>
      <c r="E87" s="8"/>
    </row>
    <row r="88" ht="13.5" customHeight="1">
      <c r="A88" s="9" t="s">
        <v>9</v>
      </c>
      <c r="B88" s="10" t="s">
        <v>14</v>
      </c>
      <c r="C88" s="11"/>
      <c r="D88" s="11"/>
      <c r="E88" s="8"/>
    </row>
    <row r="89" ht="13.5" customHeight="1">
      <c r="A89" s="9" t="s">
        <v>9</v>
      </c>
      <c r="B89" s="10" t="s">
        <v>15</v>
      </c>
      <c r="C89" s="11"/>
      <c r="D89" s="11"/>
      <c r="E89" s="8"/>
    </row>
    <row r="90" ht="13.5" customHeight="1">
      <c r="A90" s="9" t="s">
        <v>9</v>
      </c>
      <c r="B90" s="10" t="s">
        <v>16</v>
      </c>
      <c r="C90" s="11"/>
      <c r="D90" s="11"/>
      <c r="E90" s="8"/>
    </row>
    <row r="91" ht="13.5" customHeight="1">
      <c r="A91" s="9" t="s">
        <v>5</v>
      </c>
      <c r="B91" s="10" t="s">
        <v>17</v>
      </c>
      <c r="C91" s="11"/>
      <c r="D91" s="11"/>
      <c r="E91" s="8"/>
    </row>
    <row r="92" ht="13.5" customHeight="1">
      <c r="A92" s="9" t="s">
        <v>5</v>
      </c>
      <c r="B92" s="10" t="s">
        <v>18</v>
      </c>
      <c r="C92" s="11"/>
      <c r="D92" s="11"/>
      <c r="E92" s="8"/>
    </row>
    <row r="93" ht="13.5" customHeight="1">
      <c r="A93" s="9" t="s">
        <v>5</v>
      </c>
      <c r="B93" s="10" t="s">
        <v>19</v>
      </c>
      <c r="C93" s="11"/>
      <c r="D93" s="11"/>
      <c r="E93" s="8"/>
    </row>
    <row r="94" ht="13.5" customHeight="1">
      <c r="A94" s="9" t="s">
        <v>5</v>
      </c>
      <c r="B94" s="10" t="s">
        <v>20</v>
      </c>
      <c r="C94" s="11"/>
      <c r="D94" s="11"/>
      <c r="E94" s="8"/>
    </row>
    <row r="95" ht="13.5" customHeight="1">
      <c r="A95" s="9" t="s">
        <v>9</v>
      </c>
      <c r="B95" s="30" t="s">
        <v>38</v>
      </c>
      <c r="C95" s="11"/>
      <c r="D95" s="11"/>
      <c r="E95" s="8"/>
      <c r="U95" s="13"/>
      <c r="V95" s="13"/>
      <c r="W95" s="13"/>
      <c r="X95" s="13"/>
    </row>
    <row r="96" ht="13.5" customHeight="1">
      <c r="A96" s="9" t="s">
        <v>5</v>
      </c>
      <c r="B96" s="30" t="s">
        <v>40</v>
      </c>
      <c r="C96" s="11"/>
      <c r="D96" s="11"/>
      <c r="E96" s="8"/>
    </row>
    <row r="97" ht="13.5" customHeight="1">
      <c r="A97" s="9" t="s">
        <v>5</v>
      </c>
      <c r="B97" s="10" t="s">
        <v>46</v>
      </c>
      <c r="C97" s="11"/>
      <c r="D97" s="11"/>
      <c r="E97" s="8"/>
    </row>
    <row r="98" ht="13.5" customHeight="1">
      <c r="A98" s="9" t="s">
        <v>5</v>
      </c>
      <c r="B98" s="10" t="s">
        <v>47</v>
      </c>
      <c r="C98" s="11"/>
      <c r="D98" s="11"/>
      <c r="E98" s="8"/>
    </row>
    <row r="99" ht="13.5" customHeight="1">
      <c r="A99" s="9" t="s">
        <v>9</v>
      </c>
      <c r="B99" s="30" t="s">
        <v>39</v>
      </c>
      <c r="C99" s="11"/>
      <c r="D99" s="11"/>
      <c r="E99" s="8"/>
    </row>
    <row r="100">
      <c r="A100" s="41"/>
      <c r="B100" s="14" t="s">
        <v>26</v>
      </c>
      <c r="C100" s="33"/>
      <c r="D100" s="33"/>
      <c r="E100" s="8"/>
    </row>
    <row r="101">
      <c r="A101" s="41"/>
      <c r="B101" s="14" t="s">
        <v>27</v>
      </c>
      <c r="C101" s="17" t="str">
        <f>D100/C100</f>
        <v>#DIV/0!</v>
      </c>
      <c r="D101" s="4"/>
      <c r="E101" s="8"/>
    </row>
    <row r="102">
      <c r="A102" s="41"/>
      <c r="B102" s="14" t="s">
        <v>28</v>
      </c>
      <c r="C102" s="17" t="str">
        <f>1-C101</f>
        <v>#DIV/0!</v>
      </c>
      <c r="D102" s="4"/>
      <c r="E102" s="8"/>
    </row>
    <row r="103" ht="15.75" customHeight="1">
      <c r="A103" s="47"/>
    </row>
    <row r="104">
      <c r="A104" s="48"/>
      <c r="B104" s="49" t="s">
        <v>48</v>
      </c>
      <c r="C104" s="3"/>
      <c r="D104" s="4"/>
    </row>
    <row r="105">
      <c r="A105" s="6"/>
      <c r="B105" s="50" t="s">
        <v>2</v>
      </c>
      <c r="C105" s="50" t="s">
        <v>3</v>
      </c>
      <c r="D105" s="50" t="s">
        <v>4</v>
      </c>
      <c r="E105" s="51"/>
    </row>
    <row r="106" ht="15.75" customHeight="1">
      <c r="A106" s="9" t="s">
        <v>5</v>
      </c>
      <c r="B106" s="10" t="s">
        <v>6</v>
      </c>
      <c r="C106" s="11"/>
      <c r="D106" s="11"/>
      <c r="E106" s="8"/>
    </row>
    <row r="107" ht="15.75" customHeight="1">
      <c r="A107" s="9" t="s">
        <v>5</v>
      </c>
      <c r="B107" s="10" t="s">
        <v>7</v>
      </c>
      <c r="C107" s="11"/>
      <c r="D107" s="11"/>
      <c r="E107" s="8"/>
    </row>
    <row r="108" ht="15.75" customHeight="1">
      <c r="A108" s="9" t="s">
        <v>5</v>
      </c>
      <c r="B108" s="10" t="s">
        <v>8</v>
      </c>
      <c r="C108" s="11"/>
      <c r="D108" s="11"/>
      <c r="E108" s="8"/>
    </row>
    <row r="109" ht="15.75" customHeight="1">
      <c r="A109" s="9" t="s">
        <v>9</v>
      </c>
      <c r="B109" s="10" t="s">
        <v>10</v>
      </c>
      <c r="C109" s="11"/>
      <c r="D109" s="11"/>
      <c r="E109" s="8"/>
    </row>
    <row r="110" ht="15.75" customHeight="1">
      <c r="A110" s="9" t="s">
        <v>9</v>
      </c>
      <c r="B110" s="10" t="s">
        <v>11</v>
      </c>
      <c r="C110" s="11"/>
      <c r="D110" s="11"/>
      <c r="E110" s="8"/>
    </row>
    <row r="111" ht="15.75" customHeight="1">
      <c r="A111" s="9" t="s">
        <v>9</v>
      </c>
      <c r="B111" s="10" t="s">
        <v>12</v>
      </c>
      <c r="C111" s="11"/>
      <c r="D111" s="11"/>
      <c r="E111" s="8"/>
    </row>
    <row r="112" ht="15.75" customHeight="1">
      <c r="A112" s="9" t="s">
        <v>9</v>
      </c>
      <c r="B112" s="10" t="s">
        <v>13</v>
      </c>
      <c r="C112" s="11"/>
      <c r="D112" s="11"/>
      <c r="E112" s="8"/>
    </row>
    <row r="113" ht="15.75" customHeight="1">
      <c r="A113" s="9" t="s">
        <v>9</v>
      </c>
      <c r="B113" s="10" t="s">
        <v>14</v>
      </c>
      <c r="C113" s="11"/>
      <c r="D113" s="11"/>
      <c r="E113" s="8"/>
    </row>
    <row r="114" ht="15.75" customHeight="1">
      <c r="A114" s="9" t="s">
        <v>9</v>
      </c>
      <c r="B114" s="10" t="s">
        <v>15</v>
      </c>
      <c r="C114" s="11"/>
      <c r="D114" s="11"/>
      <c r="E114" s="8"/>
    </row>
    <row r="115" ht="15.75" customHeight="1">
      <c r="A115" s="9" t="s">
        <v>9</v>
      </c>
      <c r="B115" s="10" t="s">
        <v>16</v>
      </c>
      <c r="C115" s="11"/>
      <c r="D115" s="11"/>
      <c r="E115" s="8"/>
    </row>
    <row r="116" ht="15.75" customHeight="1">
      <c r="A116" s="9" t="s">
        <v>5</v>
      </c>
      <c r="B116" s="10" t="s">
        <v>17</v>
      </c>
      <c r="C116" s="11"/>
      <c r="D116" s="11"/>
      <c r="E116" s="8"/>
    </row>
    <row r="117" ht="15.75" customHeight="1">
      <c r="A117" s="9" t="s">
        <v>5</v>
      </c>
      <c r="B117" s="10" t="s">
        <v>18</v>
      </c>
      <c r="C117" s="11"/>
      <c r="D117" s="11"/>
      <c r="E117" s="8"/>
    </row>
    <row r="118" ht="15.75" customHeight="1">
      <c r="A118" s="9" t="s">
        <v>5</v>
      </c>
      <c r="B118" s="10" t="s">
        <v>19</v>
      </c>
      <c r="C118" s="11"/>
      <c r="D118" s="11"/>
      <c r="E118" s="8"/>
    </row>
    <row r="119" ht="15.75" customHeight="1">
      <c r="A119" s="9" t="s">
        <v>5</v>
      </c>
      <c r="B119" s="10" t="s">
        <v>20</v>
      </c>
      <c r="C119" s="11"/>
      <c r="D119" s="11"/>
      <c r="E119" s="8"/>
      <c r="T119" s="13"/>
      <c r="U119" s="13"/>
      <c r="V119" s="13"/>
      <c r="W119" s="13"/>
      <c r="X119" s="13"/>
    </row>
    <row r="120" ht="15.75" customHeight="1">
      <c r="A120" s="9" t="s">
        <v>9</v>
      </c>
      <c r="B120" s="30" t="s">
        <v>38</v>
      </c>
      <c r="C120" s="11"/>
      <c r="D120" s="11"/>
      <c r="E120" s="8"/>
      <c r="T120" s="13"/>
      <c r="U120" s="13"/>
      <c r="V120" s="13"/>
      <c r="W120" s="13"/>
      <c r="X120" s="13"/>
    </row>
    <row r="121" ht="15.75" customHeight="1">
      <c r="A121" s="9" t="s">
        <v>5</v>
      </c>
      <c r="B121" s="30" t="s">
        <v>40</v>
      </c>
      <c r="C121" s="11"/>
      <c r="D121" s="11"/>
      <c r="E121" s="8"/>
      <c r="T121" s="13"/>
      <c r="U121" s="13"/>
      <c r="V121" s="13"/>
      <c r="W121" s="13"/>
      <c r="X121" s="13"/>
    </row>
    <row r="122" ht="15.75" customHeight="1">
      <c r="A122" s="9" t="s">
        <v>9</v>
      </c>
      <c r="B122" s="30" t="s">
        <v>39</v>
      </c>
      <c r="C122" s="11"/>
      <c r="D122" s="11"/>
      <c r="E122" s="8"/>
      <c r="T122" s="13"/>
      <c r="U122" s="13"/>
      <c r="V122" s="13"/>
      <c r="W122" s="13"/>
      <c r="X122" s="13"/>
    </row>
    <row r="123" ht="15.75" customHeight="1">
      <c r="A123" s="9" t="s">
        <v>9</v>
      </c>
      <c r="B123" s="10" t="s">
        <v>49</v>
      </c>
      <c r="C123" s="11"/>
      <c r="D123" s="11"/>
      <c r="E123" s="8"/>
      <c r="T123" s="13"/>
      <c r="U123" s="13"/>
      <c r="V123" s="13"/>
      <c r="W123" s="13"/>
      <c r="X123" s="13"/>
    </row>
    <row r="124" ht="15.75" customHeight="1">
      <c r="A124" s="9"/>
      <c r="B124" s="52" t="s">
        <v>26</v>
      </c>
      <c r="C124" s="11"/>
      <c r="D124" s="11"/>
      <c r="E124" s="8"/>
      <c r="T124" s="13"/>
      <c r="U124" s="13"/>
      <c r="V124" s="13"/>
      <c r="W124" s="13"/>
      <c r="X124" s="13"/>
    </row>
    <row r="125" ht="15.75" customHeight="1">
      <c r="A125" s="9"/>
      <c r="B125" s="52" t="s">
        <v>27</v>
      </c>
      <c r="C125" s="11"/>
      <c r="D125" s="11"/>
      <c r="E125" s="8"/>
    </row>
    <row r="126" ht="15.75" customHeight="1">
      <c r="A126" s="9"/>
      <c r="B126" s="52" t="s">
        <v>28</v>
      </c>
    </row>
    <row r="127" ht="15.75" customHeight="1"/>
    <row r="128" ht="15.75" customHeight="1">
      <c r="A128" s="53"/>
      <c r="B128" s="54" t="s">
        <v>50</v>
      </c>
      <c r="C128" s="3"/>
      <c r="D128" s="4"/>
      <c r="E128" s="51"/>
    </row>
    <row r="129" ht="15.75" customHeight="1">
      <c r="A129" s="53"/>
      <c r="B129" s="55" t="s">
        <v>2</v>
      </c>
      <c r="C129" s="55" t="s">
        <v>3</v>
      </c>
      <c r="D129" s="55" t="s">
        <v>4</v>
      </c>
      <c r="E129" s="8"/>
    </row>
    <row r="130" ht="15.75" customHeight="1">
      <c r="A130" s="9"/>
      <c r="B130" s="56"/>
      <c r="C130" s="11"/>
      <c r="D130" s="11"/>
      <c r="E130" s="8"/>
    </row>
    <row r="131" ht="15.75" customHeight="1">
      <c r="A131" s="9"/>
      <c r="B131" s="56"/>
      <c r="C131" s="11"/>
      <c r="D131" s="11"/>
      <c r="E131" s="8"/>
    </row>
    <row r="132" ht="15.75" customHeight="1">
      <c r="A132" s="9"/>
      <c r="B132" s="56"/>
      <c r="C132" s="11"/>
      <c r="D132" s="11"/>
      <c r="E132" s="8"/>
    </row>
    <row r="133" ht="15.75" customHeight="1">
      <c r="A133" s="9"/>
      <c r="B133" s="56"/>
      <c r="C133" s="11"/>
      <c r="D133" s="11"/>
      <c r="E133" s="8"/>
    </row>
    <row r="134" ht="15.75" customHeight="1">
      <c r="A134" s="9"/>
      <c r="B134" s="56"/>
      <c r="C134" s="11"/>
      <c r="D134" s="11"/>
      <c r="E134" s="8"/>
    </row>
    <row r="135" ht="15.75" customHeight="1">
      <c r="A135" s="9"/>
      <c r="B135" s="56"/>
      <c r="C135" s="11"/>
      <c r="D135" s="11"/>
      <c r="E135" s="8"/>
    </row>
    <row r="136" ht="15.75" customHeight="1">
      <c r="A136" s="9"/>
      <c r="B136" s="56"/>
      <c r="C136" s="11"/>
      <c r="D136" s="11"/>
      <c r="E136" s="8"/>
    </row>
    <row r="137" ht="15.75" customHeight="1">
      <c r="A137" s="9"/>
      <c r="B137" s="56"/>
      <c r="C137" s="11"/>
      <c r="D137" s="11"/>
      <c r="E137" s="8"/>
    </row>
    <row r="138" ht="15.75" customHeight="1">
      <c r="A138" s="9"/>
      <c r="B138" s="56"/>
      <c r="C138" s="11"/>
      <c r="D138" s="11"/>
      <c r="E138" s="8"/>
    </row>
    <row r="139" ht="15.75" customHeight="1">
      <c r="A139" s="9"/>
      <c r="B139" s="56"/>
      <c r="C139" s="11"/>
      <c r="D139" s="11"/>
      <c r="E139" s="8"/>
    </row>
    <row r="140" ht="15.75" customHeight="1">
      <c r="A140" s="9"/>
      <c r="B140" s="56"/>
      <c r="C140" s="11"/>
      <c r="D140" s="11"/>
      <c r="E140" s="8"/>
    </row>
    <row r="141" ht="15.75" customHeight="1">
      <c r="A141" s="9"/>
      <c r="B141" s="56"/>
      <c r="C141" s="11"/>
      <c r="D141" s="11"/>
      <c r="E141" s="8"/>
    </row>
    <row r="142" ht="15.75" customHeight="1">
      <c r="A142" s="9"/>
      <c r="B142" s="56"/>
      <c r="C142" s="11"/>
      <c r="D142" s="11"/>
      <c r="E142" s="8"/>
    </row>
    <row r="143" ht="15.75" customHeight="1">
      <c r="A143" s="9"/>
      <c r="B143" s="56"/>
      <c r="C143" s="11"/>
      <c r="D143" s="11"/>
      <c r="E143" s="8"/>
    </row>
    <row r="144" ht="15.75" customHeight="1">
      <c r="A144" s="9"/>
      <c r="B144" s="57"/>
      <c r="C144" s="11"/>
      <c r="D144" s="11"/>
      <c r="E144" s="8"/>
    </row>
    <row r="145" ht="15.75" customHeight="1">
      <c r="A145" s="9"/>
      <c r="B145" s="57"/>
      <c r="C145" s="11"/>
      <c r="D145" s="11"/>
      <c r="E145" s="8"/>
    </row>
    <row r="146" ht="15.75" customHeight="1">
      <c r="A146" s="9"/>
      <c r="B146" s="57"/>
      <c r="C146" s="11"/>
      <c r="D146" s="11"/>
      <c r="E146" s="8"/>
    </row>
    <row r="147" ht="15.75" customHeight="1">
      <c r="A147" s="9"/>
      <c r="B147" s="57"/>
      <c r="C147" s="11"/>
      <c r="D147" s="11"/>
      <c r="E147" s="8"/>
    </row>
    <row r="148" ht="15.75" customHeight="1">
      <c r="A148" s="9"/>
      <c r="B148" s="57"/>
      <c r="C148" s="11"/>
      <c r="D148" s="11"/>
      <c r="E148" s="8"/>
    </row>
    <row r="149" ht="15.75" customHeight="1">
      <c r="A149" s="9"/>
      <c r="B149" s="57"/>
      <c r="C149" s="11"/>
      <c r="D149" s="11"/>
      <c r="E149" s="8"/>
    </row>
    <row r="150" ht="15.75" customHeight="1">
      <c r="A150" s="9"/>
      <c r="B150" s="57"/>
      <c r="C150" s="11"/>
      <c r="D150" s="11"/>
      <c r="E150" s="8"/>
    </row>
    <row r="151" ht="15.75" customHeight="1">
      <c r="A151" s="9"/>
      <c r="B151" s="57"/>
      <c r="C151" s="11"/>
      <c r="D151" s="11"/>
      <c r="E151" s="8"/>
    </row>
    <row r="152" ht="15.75" customHeight="1">
      <c r="A152" s="9"/>
      <c r="B152" s="57"/>
      <c r="C152" s="11"/>
      <c r="D152" s="11"/>
      <c r="E152" s="8"/>
    </row>
    <row r="153" ht="15.75" customHeight="1">
      <c r="A153" s="9"/>
      <c r="B153" s="57"/>
      <c r="C153" s="11"/>
      <c r="D153" s="11"/>
      <c r="E153" s="8"/>
    </row>
    <row r="154" ht="15.75" customHeight="1">
      <c r="A154" s="9"/>
      <c r="B154" s="57"/>
      <c r="C154" s="11"/>
      <c r="D154" s="11"/>
      <c r="E154" s="8"/>
    </row>
    <row r="155" ht="15.75" customHeight="1">
      <c r="A155" s="9"/>
      <c r="B155" s="57"/>
      <c r="C155" s="11"/>
      <c r="D155" s="11"/>
      <c r="E155" s="8"/>
    </row>
    <row r="156" ht="15.75" customHeight="1">
      <c r="A156" s="9"/>
      <c r="B156" s="57"/>
      <c r="C156" s="11"/>
      <c r="D156" s="11"/>
      <c r="E156" s="8"/>
    </row>
    <row r="157" ht="15.75" customHeight="1">
      <c r="A157" s="9"/>
      <c r="B157" s="57"/>
      <c r="C157" s="11"/>
      <c r="D157" s="11"/>
      <c r="E157" s="8"/>
    </row>
    <row r="158" ht="15.75" customHeight="1">
      <c r="A158" s="9"/>
      <c r="B158" s="57"/>
      <c r="C158" s="11"/>
      <c r="D158" s="11"/>
      <c r="E158" s="8"/>
    </row>
    <row r="159" ht="15.75" customHeight="1">
      <c r="A159" s="9"/>
      <c r="B159" s="58"/>
      <c r="C159" s="11"/>
      <c r="D159" s="11"/>
      <c r="E159" s="8"/>
    </row>
    <row r="160" ht="15.75" customHeight="1">
      <c r="A160" s="9"/>
      <c r="B160" s="59"/>
      <c r="C160" s="11"/>
      <c r="D160" s="11"/>
      <c r="E160" s="8"/>
    </row>
    <row r="161" ht="15.75" customHeight="1">
      <c r="A161" s="9"/>
      <c r="B161" s="59"/>
      <c r="C161" s="11"/>
      <c r="D161" s="11"/>
      <c r="E161" s="8"/>
    </row>
    <row r="162" ht="15.75" customHeight="1">
      <c r="A162" s="9"/>
      <c r="B162" s="57"/>
      <c r="C162" s="11"/>
      <c r="D162" s="11"/>
      <c r="E162" s="8"/>
    </row>
    <row r="163" ht="15.75" customHeight="1">
      <c r="A163" s="9"/>
      <c r="B163" s="57"/>
      <c r="C163" s="11"/>
      <c r="D163" s="11"/>
      <c r="E163" s="8"/>
    </row>
    <row r="164" ht="15.75" customHeight="1">
      <c r="A164" s="9"/>
      <c r="B164" s="57"/>
      <c r="C164" s="11"/>
      <c r="D164" s="11"/>
      <c r="E164" s="8"/>
    </row>
    <row r="165" ht="15.75" customHeight="1">
      <c r="A165" s="53"/>
      <c r="B165" s="52" t="s">
        <v>26</v>
      </c>
      <c r="C165" s="11"/>
      <c r="D165" s="11"/>
      <c r="E165" s="8"/>
    </row>
    <row r="166" ht="15.75" customHeight="1">
      <c r="A166" s="53"/>
      <c r="B166" s="52" t="s">
        <v>27</v>
      </c>
      <c r="C166" s="60" t="str">
        <f>D165/C165</f>
        <v>#DIV/0!</v>
      </c>
      <c r="D166" s="4"/>
      <c r="E166" s="8"/>
    </row>
    <row r="167" ht="15.75" customHeight="1">
      <c r="A167" s="53"/>
      <c r="B167" s="52" t="s">
        <v>28</v>
      </c>
      <c r="C167" s="60" t="str">
        <f>1-C166</f>
        <v>#DIV/0!</v>
      </c>
      <c r="D167" s="4"/>
      <c r="E167" s="8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E1:T22"/>
    <mergeCell ref="E25:T49"/>
    <mergeCell ref="E52:T76"/>
    <mergeCell ref="E79:T102"/>
    <mergeCell ref="E105:S125"/>
    <mergeCell ref="E128:S167"/>
    <mergeCell ref="A1:A2"/>
    <mergeCell ref="B1:D1"/>
    <mergeCell ref="C21:D21"/>
    <mergeCell ref="C22:D22"/>
    <mergeCell ref="A23:D24"/>
    <mergeCell ref="A25:A26"/>
    <mergeCell ref="B25:D25"/>
    <mergeCell ref="A47:A49"/>
    <mergeCell ref="C48:D48"/>
    <mergeCell ref="C49:D49"/>
    <mergeCell ref="A50:A51"/>
    <mergeCell ref="B50:D51"/>
    <mergeCell ref="A52:A53"/>
    <mergeCell ref="B52:D52"/>
    <mergeCell ref="A103:D103"/>
    <mergeCell ref="A104:A105"/>
    <mergeCell ref="B104:D104"/>
    <mergeCell ref="B128:D128"/>
    <mergeCell ref="C166:D166"/>
    <mergeCell ref="C167:D167"/>
    <mergeCell ref="C75:D75"/>
    <mergeCell ref="C76:D76"/>
    <mergeCell ref="A77:A78"/>
    <mergeCell ref="B77:D78"/>
    <mergeCell ref="B79:D79"/>
    <mergeCell ref="C101:D101"/>
    <mergeCell ref="C102:D102"/>
  </mergeCells>
  <printOptions/>
  <pageMargins bottom="0.75" footer="0.0" header="0.0" left="0.7" right="0.7" top="0.75"/>
  <pageSetup scale="2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5.75"/>
    <col customWidth="1" min="2" max="2" width="24.75"/>
    <col customWidth="1" min="3" max="3" width="19.0"/>
    <col customWidth="1" min="4" max="18" width="9.13"/>
    <col customWidth="1" min="19" max="26" width="14.38"/>
  </cols>
  <sheetData>
    <row r="1">
      <c r="A1" s="54" t="s">
        <v>1</v>
      </c>
      <c r="B1" s="3"/>
      <c r="C1" s="4"/>
      <c r="D1" s="5"/>
      <c r="R1" s="61"/>
    </row>
    <row r="2">
      <c r="A2" s="55" t="s">
        <v>2</v>
      </c>
      <c r="B2" s="55" t="s">
        <v>51</v>
      </c>
      <c r="C2" s="55" t="s">
        <v>52</v>
      </c>
      <c r="D2" s="8"/>
      <c r="R2" s="21"/>
    </row>
    <row r="3" ht="13.5" customHeight="1">
      <c r="A3" s="62" t="s">
        <v>53</v>
      </c>
      <c r="B3" s="11">
        <v>0.0</v>
      </c>
      <c r="C3" s="11">
        <v>0.0</v>
      </c>
      <c r="D3" s="8"/>
      <c r="R3" s="21"/>
    </row>
    <row r="4" ht="13.5" customHeight="1">
      <c r="A4" s="62" t="s">
        <v>54</v>
      </c>
      <c r="B4" s="11">
        <v>0.0</v>
      </c>
      <c r="C4" s="11">
        <v>0.0</v>
      </c>
      <c r="D4" s="8"/>
      <c r="R4" s="21"/>
    </row>
    <row r="5" ht="13.5" customHeight="1">
      <c r="A5" s="62" t="s">
        <v>55</v>
      </c>
      <c r="B5" s="12">
        <v>35.0</v>
      </c>
      <c r="C5" s="12">
        <v>32.0</v>
      </c>
      <c r="D5" s="8"/>
      <c r="R5" s="21"/>
    </row>
    <row r="6" ht="13.5" customHeight="1">
      <c r="A6" s="62" t="s">
        <v>56</v>
      </c>
      <c r="B6" s="12">
        <v>1.0</v>
      </c>
      <c r="C6" s="12">
        <v>1.0</v>
      </c>
      <c r="D6" s="8"/>
      <c r="R6" s="21"/>
    </row>
    <row r="7" ht="13.5" customHeight="1">
      <c r="A7" s="62" t="s">
        <v>57</v>
      </c>
      <c r="B7" s="12">
        <v>3.0</v>
      </c>
      <c r="C7" s="12">
        <v>3.0</v>
      </c>
      <c r="D7" s="8"/>
      <c r="R7" s="21"/>
    </row>
    <row r="8" ht="13.5" customHeight="1">
      <c r="A8" s="62" t="s">
        <v>58</v>
      </c>
      <c r="B8" s="11">
        <v>4.0</v>
      </c>
      <c r="C8" s="12">
        <v>4.0</v>
      </c>
      <c r="D8" s="8"/>
      <c r="R8" s="21"/>
    </row>
    <row r="9" ht="13.5" customHeight="1">
      <c r="A9" s="63" t="s">
        <v>59</v>
      </c>
      <c r="B9" s="12">
        <v>1.0</v>
      </c>
      <c r="C9" s="12">
        <v>0.0</v>
      </c>
      <c r="D9" s="8"/>
      <c r="R9" s="21"/>
    </row>
    <row r="10" ht="13.5" customHeight="1">
      <c r="A10" s="62" t="s">
        <v>60</v>
      </c>
      <c r="B10" s="11">
        <v>1.0</v>
      </c>
      <c r="C10" s="12">
        <v>1.0</v>
      </c>
      <c r="D10" s="8"/>
      <c r="R10" s="21"/>
    </row>
    <row r="11" ht="13.5" customHeight="1">
      <c r="A11" s="62" t="s">
        <v>61</v>
      </c>
      <c r="B11" s="11">
        <v>1.0</v>
      </c>
      <c r="C11" s="11">
        <v>0.0</v>
      </c>
      <c r="D11" s="8"/>
      <c r="R11" s="21"/>
    </row>
    <row r="12" ht="13.5" customHeight="1">
      <c r="A12" s="52" t="s">
        <v>26</v>
      </c>
      <c r="B12" s="11">
        <f t="shared" ref="B12:C12" si="1">SUM(B3:B11)</f>
        <v>46</v>
      </c>
      <c r="C12" s="11">
        <f t="shared" si="1"/>
        <v>41</v>
      </c>
      <c r="D12" s="8"/>
      <c r="R12" s="21"/>
    </row>
    <row r="13" ht="13.5" customHeight="1">
      <c r="A13" s="52" t="s">
        <v>27</v>
      </c>
      <c r="B13" s="60">
        <f>(C12/B12)</f>
        <v>0.8913043478</v>
      </c>
      <c r="C13" s="4"/>
      <c r="D13" s="8"/>
      <c r="R13" s="21"/>
    </row>
    <row r="14" ht="13.5" customHeight="1">
      <c r="A14" s="52" t="s">
        <v>28</v>
      </c>
      <c r="B14" s="60">
        <f>(1-B13)</f>
        <v>0.1086956522</v>
      </c>
      <c r="C14" s="4"/>
      <c r="D14" s="8"/>
      <c r="R14" s="21"/>
    </row>
    <row r="15" ht="12.75" customHeight="1">
      <c r="A15" s="64"/>
      <c r="B15" s="19"/>
      <c r="C15" s="19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ht="12.75" customHeight="1">
      <c r="A16" s="23"/>
      <c r="B16" s="23"/>
      <c r="C16" s="2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>
      <c r="A17" s="54" t="s">
        <v>29</v>
      </c>
      <c r="B17" s="3"/>
      <c r="C17" s="4"/>
      <c r="D17" s="5"/>
      <c r="R17" s="21"/>
    </row>
    <row r="18">
      <c r="A18" s="55" t="s">
        <v>2</v>
      </c>
      <c r="B18" s="55" t="s">
        <v>51</v>
      </c>
      <c r="C18" s="55" t="s">
        <v>52</v>
      </c>
      <c r="D18" s="8"/>
      <c r="R18" s="21"/>
    </row>
    <row r="19">
      <c r="A19" s="62" t="s">
        <v>53</v>
      </c>
      <c r="B19" s="12">
        <v>4.0</v>
      </c>
      <c r="C19" s="12">
        <v>4.0</v>
      </c>
      <c r="D19" s="8"/>
      <c r="R19" s="21"/>
    </row>
    <row r="20" ht="13.5" customHeight="1">
      <c r="A20" s="62" t="s">
        <v>54</v>
      </c>
      <c r="B20" s="12">
        <v>3.0</v>
      </c>
      <c r="C20" s="12">
        <v>3.0</v>
      </c>
      <c r="D20" s="8"/>
      <c r="R20" s="21"/>
    </row>
    <row r="21">
      <c r="A21" s="62" t="s">
        <v>55</v>
      </c>
      <c r="B21" s="12">
        <v>62.0</v>
      </c>
      <c r="C21" s="12">
        <v>55.0</v>
      </c>
      <c r="D21" s="8"/>
      <c r="R21" s="21"/>
    </row>
    <row r="22" ht="13.5" customHeight="1">
      <c r="A22" s="62" t="s">
        <v>56</v>
      </c>
      <c r="B22" s="12">
        <v>1.0</v>
      </c>
      <c r="C22" s="12">
        <v>1.0</v>
      </c>
      <c r="D22" s="8"/>
      <c r="R22" s="21"/>
    </row>
    <row r="23" ht="13.5" customHeight="1">
      <c r="A23" s="62" t="s">
        <v>57</v>
      </c>
      <c r="B23" s="12">
        <v>1.0</v>
      </c>
      <c r="C23" s="12">
        <v>1.0</v>
      </c>
      <c r="D23" s="8"/>
      <c r="R23" s="21"/>
    </row>
    <row r="24" ht="13.5" customHeight="1">
      <c r="A24" s="63" t="s">
        <v>59</v>
      </c>
      <c r="B24" s="12">
        <v>1.0</v>
      </c>
      <c r="C24" s="12">
        <v>0.0</v>
      </c>
      <c r="D24" s="8"/>
      <c r="R24" s="21"/>
    </row>
    <row r="25" ht="13.5" customHeight="1">
      <c r="A25" s="62" t="s">
        <v>61</v>
      </c>
      <c r="B25" s="12">
        <v>1.0</v>
      </c>
      <c r="C25" s="12">
        <v>0.0</v>
      </c>
      <c r="D25" s="8"/>
      <c r="R25" s="21"/>
    </row>
    <row r="26" ht="13.5" customHeight="1">
      <c r="A26" s="62"/>
      <c r="B26" s="11"/>
      <c r="C26" s="11"/>
      <c r="D26" s="8"/>
      <c r="R26" s="21"/>
    </row>
    <row r="27" ht="13.5" customHeight="1">
      <c r="A27" s="62"/>
      <c r="B27" s="11"/>
      <c r="C27" s="11"/>
      <c r="D27" s="8"/>
      <c r="R27" s="21"/>
    </row>
    <row r="28" ht="13.5" customHeight="1">
      <c r="A28" s="52" t="s">
        <v>26</v>
      </c>
      <c r="B28" s="11">
        <f t="shared" ref="B28:C28" si="2">SUM(B19:B27)</f>
        <v>73</v>
      </c>
      <c r="C28" s="11">
        <f t="shared" si="2"/>
        <v>64</v>
      </c>
      <c r="D28" s="8"/>
      <c r="R28" s="21"/>
    </row>
    <row r="29" ht="13.5" customHeight="1">
      <c r="A29" s="52" t="s">
        <v>27</v>
      </c>
      <c r="B29" s="60">
        <f>(C28/B28)</f>
        <v>0.8767123288</v>
      </c>
      <c r="C29" s="4"/>
      <c r="D29" s="8"/>
      <c r="R29" s="21"/>
    </row>
    <row r="30" ht="13.5" customHeight="1">
      <c r="A30" s="52" t="s">
        <v>28</v>
      </c>
      <c r="B30" s="60">
        <f>(1-B29)</f>
        <v>0.1232876712</v>
      </c>
      <c r="C30" s="4"/>
      <c r="D30" s="8"/>
      <c r="R30" s="21"/>
    </row>
    <row r="31" ht="13.5" customHeight="1">
      <c r="A31" s="64"/>
      <c r="B31" s="19"/>
      <c r="C31" s="19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ht="34.5" customHeight="1">
      <c r="A32" s="23"/>
      <c r="B32" s="23"/>
      <c r="C32" s="2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>
      <c r="A33" s="54" t="s">
        <v>37</v>
      </c>
      <c r="B33" s="3"/>
      <c r="C33" s="4"/>
      <c r="D33" s="5"/>
      <c r="R33" s="21"/>
    </row>
    <row r="34" ht="15.75" customHeight="1">
      <c r="A34" s="55" t="s">
        <v>2</v>
      </c>
      <c r="B34" s="55" t="s">
        <v>51</v>
      </c>
      <c r="C34" s="55" t="s">
        <v>52</v>
      </c>
      <c r="D34" s="8"/>
      <c r="R34" s="21"/>
    </row>
    <row r="35" ht="15.75" customHeight="1">
      <c r="A35" s="62" t="s">
        <v>53</v>
      </c>
      <c r="B35" s="12">
        <v>1.0</v>
      </c>
      <c r="C35" s="12">
        <v>1.0</v>
      </c>
      <c r="D35" s="8"/>
      <c r="R35" s="21"/>
    </row>
    <row r="36" ht="13.5" customHeight="1">
      <c r="A36" s="62" t="s">
        <v>54</v>
      </c>
      <c r="B36" s="12">
        <v>1.0</v>
      </c>
      <c r="C36" s="12">
        <v>1.0</v>
      </c>
      <c r="D36" s="8"/>
      <c r="R36" s="21"/>
    </row>
    <row r="37" ht="13.5" customHeight="1">
      <c r="A37" s="62" t="s">
        <v>55</v>
      </c>
      <c r="B37" s="12">
        <v>27.0</v>
      </c>
      <c r="C37" s="12">
        <v>21.0</v>
      </c>
      <c r="D37" s="8"/>
      <c r="R37" s="21"/>
    </row>
    <row r="38" ht="13.5" customHeight="1">
      <c r="A38" s="62" t="s">
        <v>56</v>
      </c>
      <c r="B38" s="12">
        <v>5.0</v>
      </c>
      <c r="C38" s="12">
        <v>5.0</v>
      </c>
      <c r="D38" s="8"/>
      <c r="R38" s="21"/>
    </row>
    <row r="39" ht="13.5" customHeight="1">
      <c r="A39" s="62" t="s">
        <v>57</v>
      </c>
      <c r="B39" s="12">
        <v>2.0</v>
      </c>
      <c r="C39" s="12">
        <v>2.0</v>
      </c>
      <c r="D39" s="8"/>
      <c r="R39" s="21"/>
    </row>
    <row r="40" ht="13.5" customHeight="1">
      <c r="A40" s="63" t="s">
        <v>59</v>
      </c>
      <c r="B40" s="12">
        <v>1.0</v>
      </c>
      <c r="C40" s="12">
        <v>0.0</v>
      </c>
      <c r="D40" s="8"/>
      <c r="R40" s="21"/>
    </row>
    <row r="41" ht="13.5" customHeight="1">
      <c r="A41" s="62" t="s">
        <v>61</v>
      </c>
      <c r="B41" s="12">
        <v>1.0</v>
      </c>
      <c r="C41" s="12">
        <v>0.0</v>
      </c>
      <c r="D41" s="8"/>
      <c r="R41" s="21"/>
    </row>
    <row r="42" ht="13.5" customHeight="1">
      <c r="A42" s="63" t="s">
        <v>62</v>
      </c>
      <c r="B42" s="12">
        <v>2.0</v>
      </c>
      <c r="C42" s="12">
        <v>1.0</v>
      </c>
      <c r="D42" s="8"/>
      <c r="R42" s="21"/>
    </row>
    <row r="43" ht="13.5" customHeight="1">
      <c r="A43" s="62"/>
      <c r="B43" s="11"/>
      <c r="C43" s="11"/>
      <c r="D43" s="8"/>
      <c r="R43" s="21"/>
    </row>
    <row r="44" ht="13.5" customHeight="1">
      <c r="A44" s="52" t="s">
        <v>26</v>
      </c>
      <c r="B44" s="11">
        <f t="shared" ref="B44:C44" si="3">SUM(B35:B43)</f>
        <v>40</v>
      </c>
      <c r="C44" s="11">
        <f t="shared" si="3"/>
        <v>31</v>
      </c>
      <c r="D44" s="8"/>
      <c r="R44" s="21"/>
    </row>
    <row r="45" ht="13.5" customHeight="1">
      <c r="A45" s="52" t="s">
        <v>27</v>
      </c>
      <c r="B45" s="60">
        <f>(C44/B44)</f>
        <v>0.775</v>
      </c>
      <c r="C45" s="4"/>
      <c r="D45" s="8"/>
      <c r="R45" s="21"/>
    </row>
    <row r="46" ht="13.5" customHeight="1">
      <c r="A46" s="52" t="s">
        <v>28</v>
      </c>
      <c r="B46" s="60">
        <f>(1-B45)</f>
        <v>0.225</v>
      </c>
      <c r="C46" s="4"/>
      <c r="D46" s="8"/>
      <c r="R46" s="21"/>
    </row>
    <row r="47" ht="13.5" customHeight="1">
      <c r="A47" s="64"/>
      <c r="B47" s="19"/>
      <c r="C47" s="19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</row>
    <row r="48" ht="13.5" customHeight="1">
      <c r="A48" s="23"/>
      <c r="B48" s="23"/>
      <c r="C48" s="2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</row>
    <row r="49" ht="13.5" customHeight="1">
      <c r="A49" s="54" t="s">
        <v>45</v>
      </c>
      <c r="B49" s="3"/>
      <c r="C49" s="4"/>
      <c r="D49" s="5"/>
      <c r="R49" s="21"/>
    </row>
    <row r="50" ht="13.5" customHeight="1">
      <c r="A50" s="55" t="s">
        <v>2</v>
      </c>
      <c r="B50" s="55" t="s">
        <v>51</v>
      </c>
      <c r="C50" s="55" t="s">
        <v>52</v>
      </c>
      <c r="D50" s="8"/>
      <c r="R50" s="21"/>
    </row>
    <row r="51" ht="13.5" customHeight="1">
      <c r="A51" s="62"/>
      <c r="B51" s="11"/>
      <c r="C51" s="11"/>
      <c r="D51" s="8"/>
      <c r="R51" s="21"/>
    </row>
    <row r="52" ht="13.5" customHeight="1">
      <c r="A52" s="62"/>
      <c r="B52" s="11"/>
      <c r="C52" s="11"/>
      <c r="D52" s="8"/>
      <c r="R52" s="21"/>
    </row>
    <row r="53" ht="13.5" customHeight="1">
      <c r="A53" s="62"/>
      <c r="B53" s="11"/>
      <c r="C53" s="11"/>
      <c r="D53" s="8"/>
      <c r="R53" s="21"/>
    </row>
    <row r="54" ht="13.5" customHeight="1">
      <c r="A54" s="62"/>
      <c r="B54" s="11"/>
      <c r="C54" s="11"/>
      <c r="D54" s="8"/>
      <c r="R54" s="21"/>
    </row>
    <row r="55" ht="13.5" customHeight="1">
      <c r="A55" s="62"/>
      <c r="B55" s="11"/>
      <c r="C55" s="11"/>
      <c r="D55" s="8"/>
      <c r="R55" s="21"/>
    </row>
    <row r="56" ht="13.5" customHeight="1">
      <c r="A56" s="62"/>
      <c r="B56" s="11"/>
      <c r="C56" s="11"/>
      <c r="D56" s="8"/>
      <c r="R56" s="21"/>
    </row>
    <row r="57" ht="13.5" customHeight="1">
      <c r="A57" s="62"/>
      <c r="B57" s="11"/>
      <c r="C57" s="11"/>
      <c r="D57" s="8"/>
      <c r="R57" s="21"/>
    </row>
    <row r="58" ht="13.5" customHeight="1">
      <c r="A58" s="62"/>
      <c r="B58" s="11"/>
      <c r="C58" s="11"/>
      <c r="D58" s="8"/>
      <c r="R58" s="21"/>
    </row>
    <row r="59" ht="13.5" customHeight="1">
      <c r="A59" s="52" t="s">
        <v>26</v>
      </c>
      <c r="B59" s="11">
        <f t="shared" ref="B59:C59" si="4">SUM(B51:B58)</f>
        <v>0</v>
      </c>
      <c r="C59" s="11">
        <f t="shared" si="4"/>
        <v>0</v>
      </c>
      <c r="D59" s="8"/>
      <c r="R59" s="21"/>
    </row>
    <row r="60" ht="13.5" customHeight="1">
      <c r="A60" s="52" t="s">
        <v>27</v>
      </c>
      <c r="B60" s="60" t="str">
        <f>(C59/B59)</f>
        <v>#DIV/0!</v>
      </c>
      <c r="C60" s="4"/>
      <c r="D60" s="8"/>
      <c r="R60" s="21"/>
    </row>
    <row r="61" ht="13.5" customHeight="1">
      <c r="A61" s="52" t="s">
        <v>28</v>
      </c>
      <c r="B61" s="60" t="str">
        <f>(1-B60)</f>
        <v>#DIV/0!</v>
      </c>
      <c r="C61" s="4"/>
      <c r="D61" s="8"/>
      <c r="R61" s="21"/>
    </row>
    <row r="62" ht="13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</row>
    <row r="63" ht="13.5" customHeight="1">
      <c r="A63" s="54" t="s">
        <v>48</v>
      </c>
      <c r="B63" s="3"/>
      <c r="C63" s="4"/>
      <c r="D63" s="5"/>
      <c r="R63" s="21"/>
    </row>
    <row r="64" ht="13.5" customHeight="1">
      <c r="A64" s="55" t="s">
        <v>2</v>
      </c>
      <c r="B64" s="55" t="s">
        <v>51</v>
      </c>
      <c r="C64" s="55" t="s">
        <v>52</v>
      </c>
      <c r="D64" s="8"/>
      <c r="R64" s="21"/>
    </row>
    <row r="65" ht="13.5" customHeight="1">
      <c r="A65" s="62"/>
      <c r="B65" s="11"/>
      <c r="C65" s="11"/>
      <c r="D65" s="8"/>
      <c r="R65" s="21"/>
    </row>
    <row r="66" ht="13.5" customHeight="1">
      <c r="A66" s="62"/>
      <c r="B66" s="11"/>
      <c r="C66" s="11"/>
      <c r="D66" s="8"/>
      <c r="R66" s="21"/>
    </row>
    <row r="67" ht="13.5" customHeight="1">
      <c r="A67" s="62"/>
      <c r="B67" s="11"/>
      <c r="C67" s="11"/>
      <c r="D67" s="8"/>
      <c r="R67" s="21"/>
    </row>
    <row r="68" ht="13.5" customHeight="1">
      <c r="A68" s="62"/>
      <c r="B68" s="11"/>
      <c r="C68" s="11"/>
      <c r="D68" s="8"/>
      <c r="R68" s="21"/>
    </row>
    <row r="69" ht="13.5" customHeight="1">
      <c r="A69" s="62"/>
      <c r="B69" s="11"/>
      <c r="C69" s="11"/>
      <c r="D69" s="8"/>
      <c r="R69" s="21"/>
    </row>
    <row r="70" ht="13.5" customHeight="1">
      <c r="A70" s="62"/>
      <c r="B70" s="11"/>
      <c r="C70" s="11"/>
      <c r="D70" s="8"/>
      <c r="R70" s="21"/>
    </row>
    <row r="71" ht="13.5" customHeight="1">
      <c r="A71" s="62"/>
      <c r="B71" s="11"/>
      <c r="C71" s="11"/>
      <c r="D71" s="8"/>
      <c r="R71" s="21"/>
    </row>
    <row r="72" ht="13.5" customHeight="1">
      <c r="A72" s="62"/>
      <c r="B72" s="11"/>
      <c r="C72" s="11"/>
      <c r="D72" s="8"/>
      <c r="R72" s="21"/>
    </row>
    <row r="73" ht="13.5" customHeight="1">
      <c r="A73" s="52" t="s">
        <v>26</v>
      </c>
      <c r="B73" s="11">
        <f t="shared" ref="B73:C73" si="5">SUM(B65:B72)</f>
        <v>0</v>
      </c>
      <c r="C73" s="11">
        <f t="shared" si="5"/>
        <v>0</v>
      </c>
      <c r="D73" s="8"/>
      <c r="R73" s="21"/>
    </row>
    <row r="74" ht="13.5" customHeight="1">
      <c r="A74" s="52" t="s">
        <v>27</v>
      </c>
      <c r="B74" s="60" t="str">
        <f>(C73/B73)</f>
        <v>#DIV/0!</v>
      </c>
      <c r="C74" s="4"/>
      <c r="D74" s="8"/>
      <c r="R74" s="21"/>
    </row>
    <row r="75" ht="13.5" customHeight="1">
      <c r="A75" s="52" t="s">
        <v>28</v>
      </c>
      <c r="B75" s="60" t="str">
        <f>(1-B74)</f>
        <v>#DIV/0!</v>
      </c>
      <c r="C75" s="4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</row>
    <row r="76" ht="13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</row>
    <row r="77" ht="13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</row>
    <row r="78" ht="13.5" customHeight="1">
      <c r="A78" s="54" t="s">
        <v>50</v>
      </c>
      <c r="B78" s="3"/>
      <c r="C78" s="4"/>
      <c r="D78" s="5"/>
      <c r="R78" s="21"/>
    </row>
    <row r="79" ht="13.5" customHeight="1">
      <c r="A79" s="55" t="s">
        <v>2</v>
      </c>
      <c r="B79" s="55" t="s">
        <v>51</v>
      </c>
      <c r="C79" s="55" t="s">
        <v>52</v>
      </c>
      <c r="D79" s="8"/>
      <c r="R79" s="21"/>
    </row>
    <row r="80" ht="13.5" customHeight="1">
      <c r="A80" s="62"/>
      <c r="B80" s="11"/>
      <c r="C80" s="11"/>
      <c r="D80" s="8"/>
      <c r="R80" s="21"/>
    </row>
    <row r="81" ht="13.5" customHeight="1">
      <c r="A81" s="62"/>
      <c r="B81" s="11"/>
      <c r="C81" s="11"/>
      <c r="D81" s="8"/>
      <c r="R81" s="21"/>
    </row>
    <row r="82" ht="13.5" customHeight="1">
      <c r="A82" s="62"/>
      <c r="B82" s="11"/>
      <c r="C82" s="11"/>
      <c r="D82" s="8"/>
      <c r="R82" s="21"/>
    </row>
    <row r="83" ht="13.5" customHeight="1">
      <c r="A83" s="62"/>
      <c r="B83" s="11"/>
      <c r="C83" s="11"/>
      <c r="D83" s="8"/>
      <c r="R83" s="21"/>
    </row>
    <row r="84" ht="13.5" customHeight="1">
      <c r="A84" s="62"/>
      <c r="B84" s="11"/>
      <c r="C84" s="11"/>
      <c r="D84" s="8"/>
      <c r="R84" s="21"/>
    </row>
    <row r="85" ht="13.5" customHeight="1">
      <c r="A85" s="62"/>
      <c r="B85" s="11"/>
      <c r="C85" s="11"/>
      <c r="D85" s="8"/>
      <c r="R85" s="21"/>
    </row>
    <row r="86" ht="13.5" customHeight="1">
      <c r="A86" s="62"/>
      <c r="B86" s="11"/>
      <c r="C86" s="11"/>
      <c r="D86" s="8"/>
      <c r="R86" s="21"/>
    </row>
    <row r="87" ht="13.5" customHeight="1">
      <c r="A87" s="62"/>
      <c r="B87" s="11"/>
      <c r="C87" s="11"/>
      <c r="D87" s="8"/>
      <c r="R87" s="21"/>
    </row>
    <row r="88" ht="13.5" customHeight="1">
      <c r="A88" s="62"/>
      <c r="B88" s="11"/>
      <c r="C88" s="11"/>
      <c r="D88" s="8"/>
      <c r="R88" s="21"/>
    </row>
    <row r="89" ht="13.5" customHeight="1">
      <c r="A89" s="62"/>
      <c r="B89" s="11"/>
      <c r="C89" s="11"/>
      <c r="D89" s="8"/>
      <c r="R89" s="21"/>
    </row>
    <row r="90" ht="13.5" customHeight="1">
      <c r="A90" s="52" t="s">
        <v>26</v>
      </c>
      <c r="B90" s="11">
        <v>306.0</v>
      </c>
      <c r="C90" s="11">
        <v>297.0</v>
      </c>
      <c r="D90" s="8"/>
      <c r="R90" s="21"/>
    </row>
    <row r="91" ht="13.5" customHeight="1">
      <c r="A91" s="52" t="s">
        <v>27</v>
      </c>
      <c r="B91" s="60">
        <f>(C90/B90)</f>
        <v>0.9705882353</v>
      </c>
      <c r="C91" s="4"/>
      <c r="D91" s="8"/>
      <c r="R91" s="21"/>
    </row>
    <row r="92" ht="13.5" customHeight="1">
      <c r="A92" s="52" t="s">
        <v>28</v>
      </c>
      <c r="B92" s="60">
        <f>(1-B91)</f>
        <v>0.02941176471</v>
      </c>
      <c r="C92" s="4"/>
      <c r="D92" s="8"/>
      <c r="R92" s="21"/>
    </row>
    <row r="93" ht="13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</row>
    <row r="94" ht="13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</row>
    <row r="95" ht="13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</row>
    <row r="96" ht="13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</row>
    <row r="97" ht="13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</row>
    <row r="98" ht="13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</row>
    <row r="99" ht="13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</row>
    <row r="100" ht="13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</row>
    <row r="101" ht="13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</row>
    <row r="102" ht="13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</row>
    <row r="103" ht="13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</row>
    <row r="104" ht="13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</row>
    <row r="105" ht="13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</row>
    <row r="106" ht="13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</row>
    <row r="107" ht="13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</row>
    <row r="108" ht="13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</row>
    <row r="109" ht="13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</row>
    <row r="110" ht="13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7">
    <mergeCell ref="B29:C29"/>
    <mergeCell ref="B30:C30"/>
    <mergeCell ref="A31:C32"/>
    <mergeCell ref="A33:C33"/>
    <mergeCell ref="A47:C48"/>
    <mergeCell ref="A49:C49"/>
    <mergeCell ref="A63:C63"/>
    <mergeCell ref="A1:C1"/>
    <mergeCell ref="D1:Q14"/>
    <mergeCell ref="B13:C13"/>
    <mergeCell ref="B14:C14"/>
    <mergeCell ref="A15:C16"/>
    <mergeCell ref="A17:C17"/>
    <mergeCell ref="D17:Q30"/>
    <mergeCell ref="B74:C74"/>
    <mergeCell ref="B75:C75"/>
    <mergeCell ref="A78:C78"/>
    <mergeCell ref="D78:Q92"/>
    <mergeCell ref="B91:C91"/>
    <mergeCell ref="B92:C92"/>
    <mergeCell ref="D33:Q46"/>
    <mergeCell ref="B45:C45"/>
    <mergeCell ref="B46:C46"/>
    <mergeCell ref="D49:Q61"/>
    <mergeCell ref="B60:C60"/>
    <mergeCell ref="B61:C61"/>
    <mergeCell ref="D63:Q74"/>
  </mergeCells>
  <printOptions/>
  <pageMargins bottom="0.75" footer="0.0" header="0.0" left="0.7" right="0.7" top="0.75"/>
  <pageSetup orientation="portrait"/>
  <colBreaks count="1" manualBreakCount="1">
    <brk id="17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39.25"/>
    <col customWidth="1" min="3" max="3" width="45.38"/>
    <col customWidth="1" min="4" max="4" width="14.75"/>
    <col customWidth="1" min="5" max="5" width="17.75"/>
    <col customWidth="1" min="6" max="6" width="14.75"/>
    <col customWidth="1" min="7" max="7" width="17.75"/>
    <col customWidth="1" min="8" max="8" width="14.25"/>
    <col customWidth="1" min="9" max="9" width="18.0"/>
    <col customWidth="1" min="10" max="10" width="13.88"/>
    <col customWidth="1" min="11" max="11" width="16.25"/>
    <col customWidth="1" min="12" max="12" width="17.13"/>
    <col customWidth="1" min="13" max="13" width="16.75"/>
    <col customWidth="1" min="14" max="14" width="14.13"/>
    <col customWidth="1" min="15" max="15" width="17.13"/>
    <col customWidth="1" min="16" max="16" width="13.25"/>
    <col customWidth="1" min="17" max="17" width="16.75"/>
    <col customWidth="1" min="18" max="18" width="14.88"/>
    <col customWidth="1" min="19" max="20" width="11.25"/>
    <col customWidth="1" min="21" max="21" width="15.25"/>
    <col customWidth="1" min="22" max="22" width="12.88"/>
    <col customWidth="1" min="23" max="23" width="10.13"/>
    <col customWidth="1" min="24" max="63" width="11.25"/>
    <col customWidth="1" min="64" max="65" width="12.75"/>
  </cols>
  <sheetData>
    <row r="1" ht="13.5" customHeight="1">
      <c r="B1" s="21"/>
      <c r="C1" s="65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7"/>
    </row>
    <row r="2" ht="23.25" customHeight="1">
      <c r="B2" s="68" t="s">
        <v>63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</row>
    <row r="3" ht="13.5" customHeight="1">
      <c r="B3" s="69" t="s">
        <v>64</v>
      </c>
      <c r="C3" s="70" t="s">
        <v>65</v>
      </c>
      <c r="D3" s="71">
        <v>46082.0</v>
      </c>
      <c r="E3" s="4"/>
      <c r="F3" s="71">
        <v>46083.0</v>
      </c>
      <c r="G3" s="4"/>
      <c r="H3" s="71">
        <v>46084.0</v>
      </c>
      <c r="I3" s="4"/>
      <c r="J3" s="71">
        <v>46085.0</v>
      </c>
      <c r="K3" s="4"/>
      <c r="L3" s="71">
        <v>46086.0</v>
      </c>
      <c r="M3" s="4"/>
      <c r="N3" s="71">
        <v>46087.0</v>
      </c>
      <c r="O3" s="4"/>
      <c r="P3" s="71">
        <v>46088.0</v>
      </c>
      <c r="Q3" s="4"/>
      <c r="R3" s="71">
        <v>46089.0</v>
      </c>
      <c r="S3" s="4"/>
      <c r="T3" s="71">
        <v>46090.0</v>
      </c>
      <c r="U3" s="4"/>
      <c r="V3" s="71">
        <v>46091.0</v>
      </c>
      <c r="W3" s="4"/>
      <c r="X3" s="71">
        <v>46092.0</v>
      </c>
      <c r="Y3" s="4"/>
      <c r="Z3" s="71">
        <v>46093.0</v>
      </c>
      <c r="AA3" s="4"/>
      <c r="AB3" s="71">
        <v>46094.0</v>
      </c>
      <c r="AC3" s="4"/>
      <c r="AD3" s="71">
        <v>46095.0</v>
      </c>
      <c r="AE3" s="4"/>
      <c r="AF3" s="71">
        <v>46096.0</v>
      </c>
      <c r="AG3" s="4"/>
      <c r="AH3" s="71">
        <v>46097.0</v>
      </c>
      <c r="AI3" s="4"/>
      <c r="AJ3" s="71">
        <v>46098.0</v>
      </c>
      <c r="AK3" s="4"/>
      <c r="AL3" s="71">
        <v>46099.0</v>
      </c>
      <c r="AM3" s="4"/>
      <c r="AN3" s="71">
        <v>46100.0</v>
      </c>
      <c r="AO3" s="4"/>
      <c r="AP3" s="71">
        <v>46101.0</v>
      </c>
      <c r="AQ3" s="4"/>
      <c r="AR3" s="71">
        <v>46102.0</v>
      </c>
      <c r="AS3" s="4"/>
      <c r="AT3" s="71">
        <v>46103.0</v>
      </c>
      <c r="AU3" s="4"/>
      <c r="AV3" s="71">
        <v>46104.0</v>
      </c>
      <c r="AW3" s="4"/>
      <c r="AX3" s="71">
        <v>46105.0</v>
      </c>
      <c r="AY3" s="4"/>
      <c r="AZ3" s="71">
        <v>46106.0</v>
      </c>
      <c r="BA3" s="4"/>
      <c r="BB3" s="71">
        <v>46107.0</v>
      </c>
      <c r="BC3" s="4"/>
      <c r="BD3" s="71">
        <v>46108.0</v>
      </c>
      <c r="BE3" s="4"/>
      <c r="BF3" s="71">
        <v>46109.0</v>
      </c>
      <c r="BG3" s="4"/>
      <c r="BH3" s="71">
        <v>46110.0</v>
      </c>
      <c r="BI3" s="4"/>
      <c r="BJ3" s="71">
        <v>46111.0</v>
      </c>
      <c r="BK3" s="4"/>
      <c r="BL3" s="71">
        <v>46112.0</v>
      </c>
      <c r="BM3" s="4"/>
    </row>
    <row r="4" ht="13.5" customHeight="1">
      <c r="B4" s="72"/>
      <c r="C4" s="37"/>
      <c r="D4" s="73" t="s">
        <v>66</v>
      </c>
      <c r="E4" s="73" t="s">
        <v>67</v>
      </c>
      <c r="F4" s="73" t="s">
        <v>66</v>
      </c>
      <c r="G4" s="73" t="s">
        <v>67</v>
      </c>
      <c r="H4" s="73" t="s">
        <v>66</v>
      </c>
      <c r="I4" s="73" t="s">
        <v>67</v>
      </c>
      <c r="J4" s="73" t="s">
        <v>66</v>
      </c>
      <c r="K4" s="73" t="s">
        <v>67</v>
      </c>
      <c r="L4" s="73" t="s">
        <v>66</v>
      </c>
      <c r="M4" s="73" t="s">
        <v>67</v>
      </c>
      <c r="N4" s="73" t="s">
        <v>66</v>
      </c>
      <c r="O4" s="73" t="s">
        <v>67</v>
      </c>
      <c r="P4" s="73" t="s">
        <v>66</v>
      </c>
      <c r="Q4" s="73" t="s">
        <v>67</v>
      </c>
      <c r="R4" s="73" t="s">
        <v>66</v>
      </c>
      <c r="S4" s="73" t="s">
        <v>67</v>
      </c>
      <c r="T4" s="73" t="s">
        <v>66</v>
      </c>
      <c r="U4" s="73" t="s">
        <v>67</v>
      </c>
      <c r="V4" s="73" t="s">
        <v>66</v>
      </c>
      <c r="W4" s="73" t="s">
        <v>67</v>
      </c>
      <c r="X4" s="73" t="s">
        <v>66</v>
      </c>
      <c r="Y4" s="73" t="s">
        <v>67</v>
      </c>
      <c r="Z4" s="73" t="s">
        <v>66</v>
      </c>
      <c r="AA4" s="73" t="s">
        <v>67</v>
      </c>
      <c r="AB4" s="73" t="s">
        <v>66</v>
      </c>
      <c r="AC4" s="73" t="s">
        <v>67</v>
      </c>
      <c r="AD4" s="73" t="s">
        <v>66</v>
      </c>
      <c r="AE4" s="73" t="s">
        <v>67</v>
      </c>
      <c r="AF4" s="73" t="s">
        <v>66</v>
      </c>
      <c r="AG4" s="73" t="s">
        <v>67</v>
      </c>
      <c r="AH4" s="73" t="s">
        <v>66</v>
      </c>
      <c r="AI4" s="73" t="s">
        <v>67</v>
      </c>
      <c r="AJ4" s="73" t="s">
        <v>66</v>
      </c>
      <c r="AK4" s="73" t="s">
        <v>67</v>
      </c>
      <c r="AL4" s="73" t="s">
        <v>66</v>
      </c>
      <c r="AM4" s="73" t="s">
        <v>67</v>
      </c>
      <c r="AN4" s="73" t="s">
        <v>66</v>
      </c>
      <c r="AO4" s="73" t="s">
        <v>67</v>
      </c>
      <c r="AP4" s="73" t="s">
        <v>66</v>
      </c>
      <c r="AQ4" s="73" t="s">
        <v>67</v>
      </c>
      <c r="AR4" s="73" t="s">
        <v>66</v>
      </c>
      <c r="AS4" s="73" t="s">
        <v>67</v>
      </c>
      <c r="AT4" s="73" t="s">
        <v>66</v>
      </c>
      <c r="AU4" s="73" t="s">
        <v>67</v>
      </c>
      <c r="AV4" s="73" t="s">
        <v>66</v>
      </c>
      <c r="AW4" s="73" t="s">
        <v>67</v>
      </c>
      <c r="AX4" s="73" t="s">
        <v>66</v>
      </c>
      <c r="AY4" s="73" t="s">
        <v>67</v>
      </c>
      <c r="AZ4" s="73" t="s">
        <v>66</v>
      </c>
      <c r="BA4" s="73" t="s">
        <v>67</v>
      </c>
      <c r="BB4" s="73" t="s">
        <v>66</v>
      </c>
      <c r="BC4" s="73" t="s">
        <v>67</v>
      </c>
      <c r="BD4" s="73" t="s">
        <v>66</v>
      </c>
      <c r="BE4" s="73" t="s">
        <v>67</v>
      </c>
      <c r="BF4" s="73" t="s">
        <v>66</v>
      </c>
      <c r="BG4" s="73" t="s">
        <v>67</v>
      </c>
      <c r="BH4" s="73" t="s">
        <v>66</v>
      </c>
      <c r="BI4" s="73" t="s">
        <v>67</v>
      </c>
      <c r="BJ4" s="73" t="s">
        <v>66</v>
      </c>
      <c r="BK4" s="73" t="s">
        <v>67</v>
      </c>
      <c r="BL4" s="73" t="s">
        <v>66</v>
      </c>
      <c r="BM4" s="73" t="s">
        <v>67</v>
      </c>
    </row>
    <row r="5" ht="13.5" customHeight="1">
      <c r="B5" s="74" t="s">
        <v>68</v>
      </c>
      <c r="C5" s="75">
        <v>3.0</v>
      </c>
      <c r="D5" s="76" t="s">
        <v>69</v>
      </c>
      <c r="E5" s="76" t="s">
        <v>69</v>
      </c>
      <c r="F5" s="76" t="s">
        <v>69</v>
      </c>
      <c r="G5" s="76" t="s">
        <v>69</v>
      </c>
      <c r="H5" s="76" t="s">
        <v>69</v>
      </c>
      <c r="I5" s="76" t="s">
        <v>69</v>
      </c>
      <c r="J5" s="76" t="s">
        <v>69</v>
      </c>
      <c r="K5" s="76" t="s">
        <v>69</v>
      </c>
      <c r="L5" s="76" t="s">
        <v>69</v>
      </c>
      <c r="M5" s="76" t="s">
        <v>69</v>
      </c>
      <c r="N5" s="77" t="s">
        <v>69</v>
      </c>
      <c r="O5" s="77" t="s">
        <v>69</v>
      </c>
      <c r="P5" s="77" t="s">
        <v>69</v>
      </c>
      <c r="Q5" s="77" t="s">
        <v>69</v>
      </c>
      <c r="R5" s="77" t="s">
        <v>69</v>
      </c>
      <c r="S5" s="77" t="s">
        <v>69</v>
      </c>
      <c r="T5" s="77" t="s">
        <v>69</v>
      </c>
      <c r="U5" s="77" t="s">
        <v>69</v>
      </c>
      <c r="V5" s="77" t="s">
        <v>69</v>
      </c>
      <c r="W5" s="77" t="s">
        <v>69</v>
      </c>
      <c r="X5" s="77" t="s">
        <v>69</v>
      </c>
      <c r="Y5" s="77" t="s">
        <v>69</v>
      </c>
      <c r="Z5" s="77" t="s">
        <v>69</v>
      </c>
      <c r="AA5" s="77" t="s">
        <v>69</v>
      </c>
      <c r="AB5" s="77" t="s">
        <v>69</v>
      </c>
      <c r="AC5" s="77" t="s">
        <v>69</v>
      </c>
      <c r="AD5" s="77" t="s">
        <v>69</v>
      </c>
      <c r="AE5" s="77" t="s">
        <v>69</v>
      </c>
      <c r="AF5" s="77" t="s">
        <v>69</v>
      </c>
      <c r="AG5" s="77" t="s">
        <v>69</v>
      </c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9"/>
      <c r="BI5" s="79"/>
      <c r="BJ5" s="79"/>
      <c r="BK5" s="79"/>
      <c r="BL5" s="80"/>
      <c r="BM5" s="80"/>
    </row>
    <row r="6" ht="17.25" customHeight="1">
      <c r="B6" s="74" t="s">
        <v>70</v>
      </c>
      <c r="C6" s="74" t="s">
        <v>71</v>
      </c>
      <c r="D6" s="76" t="s">
        <v>69</v>
      </c>
      <c r="E6" s="76" t="s">
        <v>69</v>
      </c>
      <c r="F6" s="76" t="s">
        <v>69</v>
      </c>
      <c r="G6" s="76" t="s">
        <v>69</v>
      </c>
      <c r="H6" s="76" t="s">
        <v>69</v>
      </c>
      <c r="I6" s="76" t="s">
        <v>69</v>
      </c>
      <c r="J6" s="76" t="s">
        <v>69</v>
      </c>
      <c r="K6" s="76" t="s">
        <v>69</v>
      </c>
      <c r="L6" s="76" t="s">
        <v>69</v>
      </c>
      <c r="M6" s="76" t="s">
        <v>69</v>
      </c>
      <c r="N6" s="77" t="s">
        <v>69</v>
      </c>
      <c r="O6" s="77" t="s">
        <v>69</v>
      </c>
      <c r="P6" s="77" t="s">
        <v>69</v>
      </c>
      <c r="Q6" s="77" t="s">
        <v>69</v>
      </c>
      <c r="R6" s="77" t="s">
        <v>69</v>
      </c>
      <c r="S6" s="77" t="s">
        <v>69</v>
      </c>
      <c r="T6" s="77" t="s">
        <v>69</v>
      </c>
      <c r="U6" s="77" t="s">
        <v>69</v>
      </c>
      <c r="V6" s="77" t="s">
        <v>69</v>
      </c>
      <c r="W6" s="77" t="s">
        <v>69</v>
      </c>
      <c r="X6" s="77" t="s">
        <v>69</v>
      </c>
      <c r="Y6" s="77" t="s">
        <v>69</v>
      </c>
      <c r="Z6" s="77" t="s">
        <v>69</v>
      </c>
      <c r="AA6" s="77" t="s">
        <v>69</v>
      </c>
      <c r="AB6" s="77" t="s">
        <v>69</v>
      </c>
      <c r="AC6" s="77" t="s">
        <v>69</v>
      </c>
      <c r="AD6" s="77" t="s">
        <v>69</v>
      </c>
      <c r="AE6" s="77" t="s">
        <v>69</v>
      </c>
      <c r="AF6" s="77" t="s">
        <v>69</v>
      </c>
      <c r="AG6" s="77" t="s">
        <v>69</v>
      </c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9"/>
      <c r="BI6" s="79"/>
      <c r="BJ6" s="79"/>
      <c r="BK6" s="79"/>
      <c r="BL6" s="80"/>
      <c r="BM6" s="80"/>
    </row>
    <row r="7" ht="13.5" customHeight="1">
      <c r="B7" s="81" t="s">
        <v>72</v>
      </c>
      <c r="C7" s="74" t="s">
        <v>73</v>
      </c>
      <c r="D7" s="82">
        <v>707.0</v>
      </c>
      <c r="E7" s="4"/>
      <c r="F7" s="82">
        <v>778.0</v>
      </c>
      <c r="G7" s="4"/>
      <c r="H7" s="82">
        <v>781.0</v>
      </c>
      <c r="I7" s="4"/>
      <c r="J7" s="83">
        <v>764.0</v>
      </c>
      <c r="K7" s="4"/>
      <c r="L7" s="83">
        <v>559.0</v>
      </c>
      <c r="M7" s="4"/>
      <c r="N7" s="83">
        <v>842.0</v>
      </c>
      <c r="O7" s="4"/>
      <c r="P7" s="82">
        <v>774.0</v>
      </c>
      <c r="Q7" s="4"/>
      <c r="R7" s="82">
        <v>641.0</v>
      </c>
      <c r="S7" s="4"/>
      <c r="T7" s="82">
        <v>776.0</v>
      </c>
      <c r="U7" s="4"/>
      <c r="V7" s="82">
        <v>792.0</v>
      </c>
      <c r="W7" s="4"/>
      <c r="X7" s="83">
        <v>582.0</v>
      </c>
      <c r="Y7" s="4"/>
      <c r="Z7" s="82">
        <v>434.0</v>
      </c>
      <c r="AA7" s="4"/>
      <c r="AB7" s="83">
        <v>839.0</v>
      </c>
      <c r="AC7" s="4"/>
      <c r="AD7" s="83">
        <v>0.0</v>
      </c>
      <c r="AE7" s="4"/>
      <c r="AF7" s="84"/>
      <c r="AG7" s="4"/>
      <c r="AH7" s="78"/>
      <c r="AI7" s="79"/>
      <c r="AJ7" s="78"/>
      <c r="AK7" s="85"/>
      <c r="AL7" s="78"/>
      <c r="AM7" s="85"/>
      <c r="AN7" s="78"/>
      <c r="AO7" s="85"/>
      <c r="AP7" s="78"/>
      <c r="AQ7" s="85"/>
      <c r="AR7" s="78"/>
      <c r="AS7" s="85"/>
      <c r="AT7" s="78"/>
      <c r="AU7" s="85"/>
      <c r="AV7" s="84"/>
      <c r="AW7" s="4"/>
      <c r="AX7" s="78"/>
      <c r="AY7" s="79"/>
      <c r="AZ7" s="78"/>
      <c r="BA7" s="79"/>
      <c r="BB7" s="84"/>
      <c r="BC7" s="4"/>
      <c r="BD7" s="78"/>
      <c r="BE7" s="79"/>
      <c r="BF7" s="78"/>
      <c r="BG7" s="79"/>
      <c r="BH7" s="79"/>
      <c r="BI7" s="79"/>
      <c r="BJ7" s="79"/>
      <c r="BK7" s="79"/>
      <c r="BL7" s="80"/>
      <c r="BM7" s="80"/>
    </row>
    <row r="8" ht="13.5" customHeight="1">
      <c r="B8" s="81" t="s">
        <v>74</v>
      </c>
      <c r="C8" s="74" t="s">
        <v>75</v>
      </c>
      <c r="D8" s="76" t="s">
        <v>69</v>
      </c>
      <c r="E8" s="76" t="s">
        <v>69</v>
      </c>
      <c r="F8" s="76" t="s">
        <v>69</v>
      </c>
      <c r="G8" s="76" t="s">
        <v>69</v>
      </c>
      <c r="H8" s="76" t="s">
        <v>69</v>
      </c>
      <c r="I8" s="76" t="s">
        <v>69</v>
      </c>
      <c r="J8" s="76" t="s">
        <v>69</v>
      </c>
      <c r="K8" s="76" t="s">
        <v>69</v>
      </c>
      <c r="L8" s="76" t="s">
        <v>69</v>
      </c>
      <c r="M8" s="76" t="s">
        <v>69</v>
      </c>
      <c r="N8" s="76" t="s">
        <v>69</v>
      </c>
      <c r="O8" s="76" t="s">
        <v>69</v>
      </c>
      <c r="P8" s="76" t="s">
        <v>69</v>
      </c>
      <c r="Q8" s="76" t="s">
        <v>69</v>
      </c>
      <c r="R8" s="76" t="s">
        <v>69</v>
      </c>
      <c r="S8" s="76" t="s">
        <v>69</v>
      </c>
      <c r="T8" s="76" t="s">
        <v>69</v>
      </c>
      <c r="U8" s="76" t="s">
        <v>69</v>
      </c>
      <c r="V8" s="76" t="s">
        <v>69</v>
      </c>
      <c r="W8" s="76" t="s">
        <v>69</v>
      </c>
      <c r="X8" s="77" t="s">
        <v>69</v>
      </c>
      <c r="Y8" s="77" t="s">
        <v>69</v>
      </c>
      <c r="Z8" s="77" t="s">
        <v>69</v>
      </c>
      <c r="AA8" s="77" t="s">
        <v>69</v>
      </c>
      <c r="AB8" s="77" t="s">
        <v>69</v>
      </c>
      <c r="AC8" s="77" t="s">
        <v>69</v>
      </c>
      <c r="AD8" s="77" t="s">
        <v>69</v>
      </c>
      <c r="AE8" s="77" t="s">
        <v>69</v>
      </c>
      <c r="AF8" s="77" t="s">
        <v>69</v>
      </c>
      <c r="AG8" s="77" t="s">
        <v>69</v>
      </c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9"/>
      <c r="BI8" s="79"/>
      <c r="BJ8" s="79"/>
      <c r="BK8" s="79"/>
      <c r="BL8" s="80"/>
      <c r="BM8" s="80"/>
    </row>
    <row r="9" ht="13.5" customHeight="1">
      <c r="B9" s="81" t="s">
        <v>76</v>
      </c>
      <c r="C9" s="74" t="s">
        <v>77</v>
      </c>
      <c r="D9" s="86" t="s">
        <v>69</v>
      </c>
      <c r="E9" s="4"/>
      <c r="F9" s="86" t="s">
        <v>69</v>
      </c>
      <c r="G9" s="4"/>
      <c r="H9" s="86" t="s">
        <v>69</v>
      </c>
      <c r="I9" s="4"/>
      <c r="J9" s="86" t="s">
        <v>69</v>
      </c>
      <c r="K9" s="4"/>
      <c r="L9" s="86" t="s">
        <v>69</v>
      </c>
      <c r="M9" s="4"/>
      <c r="N9" s="86" t="s">
        <v>69</v>
      </c>
      <c r="O9" s="4"/>
      <c r="P9" s="86" t="s">
        <v>69</v>
      </c>
      <c r="Q9" s="4"/>
      <c r="R9" s="86" t="s">
        <v>69</v>
      </c>
      <c r="S9" s="4"/>
      <c r="T9" s="86" t="s">
        <v>69</v>
      </c>
      <c r="U9" s="4"/>
      <c r="V9" s="86" t="s">
        <v>69</v>
      </c>
      <c r="W9" s="4"/>
      <c r="X9" s="82" t="s">
        <v>69</v>
      </c>
      <c r="Y9" s="4"/>
      <c r="Z9" s="82" t="s">
        <v>69</v>
      </c>
      <c r="AA9" s="4"/>
      <c r="AB9" s="87"/>
      <c r="AC9" s="4"/>
      <c r="AD9" s="82" t="s">
        <v>69</v>
      </c>
      <c r="AE9" s="4"/>
      <c r="AF9" s="82" t="s">
        <v>69</v>
      </c>
      <c r="AG9" s="4"/>
      <c r="AH9" s="87"/>
      <c r="AI9" s="4"/>
      <c r="AJ9" s="87"/>
      <c r="AK9" s="4"/>
      <c r="AL9" s="87"/>
      <c r="AM9" s="4"/>
      <c r="AN9" s="87"/>
      <c r="AO9" s="4"/>
      <c r="AP9" s="87"/>
      <c r="AQ9" s="4"/>
      <c r="AR9" s="87"/>
      <c r="AS9" s="4"/>
      <c r="AT9" s="87"/>
      <c r="AU9" s="4"/>
      <c r="AV9" s="87"/>
      <c r="AW9" s="4"/>
      <c r="AX9" s="87"/>
      <c r="AY9" s="4"/>
      <c r="AZ9" s="87"/>
      <c r="BA9" s="4"/>
      <c r="BB9" s="87"/>
      <c r="BC9" s="4"/>
      <c r="BD9" s="87"/>
      <c r="BE9" s="4"/>
      <c r="BF9" s="87"/>
      <c r="BG9" s="4"/>
      <c r="BH9" s="85"/>
      <c r="BI9" s="85"/>
      <c r="BJ9" s="85"/>
      <c r="BK9" s="85"/>
      <c r="BL9" s="80"/>
      <c r="BM9" s="80"/>
    </row>
    <row r="10" ht="13.5" customHeight="1">
      <c r="B10" s="81" t="s">
        <v>78</v>
      </c>
      <c r="C10" s="74" t="s">
        <v>79</v>
      </c>
      <c r="D10" s="76" t="s">
        <v>69</v>
      </c>
      <c r="E10" s="76" t="s">
        <v>69</v>
      </c>
      <c r="F10" s="76" t="s">
        <v>69</v>
      </c>
      <c r="G10" s="76" t="s">
        <v>69</v>
      </c>
      <c r="H10" s="76" t="s">
        <v>69</v>
      </c>
      <c r="I10" s="76" t="s">
        <v>69</v>
      </c>
      <c r="J10" s="76" t="s">
        <v>69</v>
      </c>
      <c r="K10" s="76" t="s">
        <v>69</v>
      </c>
      <c r="L10" s="76" t="s">
        <v>69</v>
      </c>
      <c r="M10" s="76" t="s">
        <v>69</v>
      </c>
      <c r="N10" s="76" t="s">
        <v>69</v>
      </c>
      <c r="O10" s="76" t="s">
        <v>69</v>
      </c>
      <c r="P10" s="76" t="s">
        <v>69</v>
      </c>
      <c r="Q10" s="76" t="s">
        <v>69</v>
      </c>
      <c r="R10" s="76" t="s">
        <v>69</v>
      </c>
      <c r="S10" s="76" t="s">
        <v>69</v>
      </c>
      <c r="T10" s="76" t="s">
        <v>69</v>
      </c>
      <c r="U10" s="76" t="s">
        <v>69</v>
      </c>
      <c r="V10" s="76" t="s">
        <v>69</v>
      </c>
      <c r="W10" s="76" t="s">
        <v>69</v>
      </c>
      <c r="X10" s="77" t="s">
        <v>69</v>
      </c>
      <c r="Y10" s="77" t="s">
        <v>69</v>
      </c>
      <c r="Z10" s="77" t="s">
        <v>69</v>
      </c>
      <c r="AA10" s="77" t="s">
        <v>69</v>
      </c>
      <c r="AB10" s="77" t="s">
        <v>69</v>
      </c>
      <c r="AC10" s="77" t="s">
        <v>69</v>
      </c>
      <c r="AD10" s="77" t="s">
        <v>69</v>
      </c>
      <c r="AE10" s="77" t="s">
        <v>69</v>
      </c>
      <c r="AF10" s="77" t="s">
        <v>69</v>
      </c>
      <c r="AG10" s="77" t="s">
        <v>69</v>
      </c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9"/>
      <c r="BI10" s="79"/>
      <c r="BJ10" s="79"/>
      <c r="BK10" s="79"/>
      <c r="BL10" s="80"/>
      <c r="BM10" s="80"/>
    </row>
    <row r="11" ht="13.5" customHeight="1">
      <c r="B11" s="81" t="s">
        <v>80</v>
      </c>
      <c r="C11" s="74" t="s">
        <v>81</v>
      </c>
      <c r="D11" s="76" t="s">
        <v>69</v>
      </c>
      <c r="E11" s="76" t="s">
        <v>69</v>
      </c>
      <c r="F11" s="76" t="s">
        <v>69</v>
      </c>
      <c r="G11" s="76" t="s">
        <v>69</v>
      </c>
      <c r="H11" s="76" t="s">
        <v>69</v>
      </c>
      <c r="I11" s="76" t="s">
        <v>69</v>
      </c>
      <c r="J11" s="76" t="s">
        <v>69</v>
      </c>
      <c r="K11" s="76" t="s">
        <v>69</v>
      </c>
      <c r="L11" s="76" t="s">
        <v>69</v>
      </c>
      <c r="M11" s="76" t="s">
        <v>69</v>
      </c>
      <c r="N11" s="76" t="s">
        <v>69</v>
      </c>
      <c r="O11" s="76" t="s">
        <v>69</v>
      </c>
      <c r="P11" s="76" t="s">
        <v>69</v>
      </c>
      <c r="Q11" s="76" t="s">
        <v>69</v>
      </c>
      <c r="R11" s="76" t="s">
        <v>69</v>
      </c>
      <c r="S11" s="76" t="s">
        <v>69</v>
      </c>
      <c r="T11" s="76" t="s">
        <v>69</v>
      </c>
      <c r="U11" s="76" t="s">
        <v>69</v>
      </c>
      <c r="V11" s="76" t="s">
        <v>69</v>
      </c>
      <c r="W11" s="76" t="s">
        <v>69</v>
      </c>
      <c r="X11" s="77" t="s">
        <v>69</v>
      </c>
      <c r="Y11" s="77" t="s">
        <v>69</v>
      </c>
      <c r="Z11" s="77" t="s">
        <v>69</v>
      </c>
      <c r="AA11" s="77" t="s">
        <v>69</v>
      </c>
      <c r="AB11" s="77" t="s">
        <v>69</v>
      </c>
      <c r="AC11" s="77" t="s">
        <v>69</v>
      </c>
      <c r="AD11" s="77" t="s">
        <v>69</v>
      </c>
      <c r="AE11" s="77" t="s">
        <v>69</v>
      </c>
      <c r="AF11" s="77" t="s">
        <v>69</v>
      </c>
      <c r="AG11" s="77" t="s">
        <v>69</v>
      </c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9"/>
      <c r="BI11" s="79"/>
      <c r="BJ11" s="79"/>
      <c r="BK11" s="79"/>
      <c r="BL11" s="80"/>
      <c r="BM11" s="80"/>
    </row>
    <row r="12">
      <c r="B12" s="68" t="s">
        <v>82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</row>
    <row r="13" ht="13.5" customHeight="1">
      <c r="B13" s="69" t="s">
        <v>64</v>
      </c>
      <c r="C13" s="70" t="s">
        <v>65</v>
      </c>
      <c r="D13" s="88" t="s">
        <v>83</v>
      </c>
      <c r="E13" s="4"/>
      <c r="F13" s="88" t="s">
        <v>84</v>
      </c>
      <c r="G13" s="4"/>
      <c r="H13" s="88" t="s">
        <v>85</v>
      </c>
      <c r="I13" s="4"/>
      <c r="J13" s="88" t="s">
        <v>86</v>
      </c>
      <c r="K13" s="4"/>
    </row>
    <row r="14" ht="13.5" customHeight="1">
      <c r="B14" s="72"/>
      <c r="C14" s="37"/>
      <c r="D14" s="89" t="s">
        <v>66</v>
      </c>
      <c r="E14" s="89" t="s">
        <v>67</v>
      </c>
      <c r="F14" s="89" t="s">
        <v>66</v>
      </c>
      <c r="G14" s="89" t="s">
        <v>67</v>
      </c>
      <c r="H14" s="89" t="s">
        <v>66</v>
      </c>
      <c r="I14" s="89" t="s">
        <v>67</v>
      </c>
      <c r="J14" s="89" t="s">
        <v>66</v>
      </c>
      <c r="K14" s="89" t="s">
        <v>67</v>
      </c>
    </row>
    <row r="15" ht="13.5" customHeight="1">
      <c r="B15" s="90" t="s">
        <v>87</v>
      </c>
      <c r="C15" s="90" t="s">
        <v>88</v>
      </c>
      <c r="D15" s="91" t="s">
        <v>89</v>
      </c>
      <c r="E15" s="76" t="s">
        <v>69</v>
      </c>
      <c r="F15" s="91" t="s">
        <v>90</v>
      </c>
      <c r="G15" s="76" t="s">
        <v>69</v>
      </c>
      <c r="H15" s="92"/>
      <c r="I15" s="78"/>
      <c r="J15" s="92"/>
      <c r="K15" s="78"/>
    </row>
    <row r="16" ht="13.5" customHeight="1">
      <c r="B16" s="93" t="s">
        <v>91</v>
      </c>
      <c r="C16" s="90" t="s">
        <v>88</v>
      </c>
      <c r="D16" s="91" t="s">
        <v>89</v>
      </c>
      <c r="E16" s="76" t="s">
        <v>69</v>
      </c>
      <c r="F16" s="91" t="s">
        <v>90</v>
      </c>
      <c r="G16" s="76" t="s">
        <v>69</v>
      </c>
      <c r="H16" s="92"/>
      <c r="I16" s="78"/>
      <c r="J16" s="92"/>
      <c r="K16" s="78"/>
    </row>
    <row r="17" ht="13.5" customHeight="1">
      <c r="B17" s="94"/>
      <c r="C17" s="90"/>
      <c r="D17" s="95" t="s">
        <v>92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96" t="s">
        <v>93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  <c r="AB17" s="96" t="s">
        <v>94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4"/>
      <c r="AN17" s="97" t="s">
        <v>95</v>
      </c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9" t="s">
        <v>96</v>
      </c>
      <c r="BA17" s="98"/>
      <c r="BB17" s="98"/>
      <c r="BC17" s="98"/>
    </row>
    <row r="18" ht="13.5" customHeight="1">
      <c r="B18" s="69" t="s">
        <v>64</v>
      </c>
      <c r="C18" s="70" t="s">
        <v>65</v>
      </c>
      <c r="D18" s="100" t="s">
        <v>97</v>
      </c>
      <c r="E18" s="4"/>
      <c r="F18" s="100" t="s">
        <v>98</v>
      </c>
      <c r="G18" s="4"/>
      <c r="H18" s="100" t="s">
        <v>99</v>
      </c>
      <c r="I18" s="4"/>
      <c r="J18" s="100" t="s">
        <v>100</v>
      </c>
      <c r="K18" s="4"/>
      <c r="L18" s="100" t="s">
        <v>101</v>
      </c>
      <c r="M18" s="4"/>
      <c r="N18" s="100" t="s">
        <v>102</v>
      </c>
      <c r="O18" s="4"/>
      <c r="P18" s="88" t="s">
        <v>97</v>
      </c>
      <c r="Q18" s="4"/>
      <c r="R18" s="88" t="s">
        <v>98</v>
      </c>
      <c r="S18" s="4"/>
      <c r="T18" s="88" t="s">
        <v>99</v>
      </c>
      <c r="U18" s="4"/>
      <c r="V18" s="88" t="s">
        <v>100</v>
      </c>
      <c r="W18" s="4"/>
      <c r="X18" s="88" t="s">
        <v>101</v>
      </c>
      <c r="Y18" s="4"/>
      <c r="Z18" s="88" t="s">
        <v>102</v>
      </c>
      <c r="AA18" s="4"/>
      <c r="AB18" s="100" t="s">
        <v>97</v>
      </c>
      <c r="AC18" s="4"/>
      <c r="AD18" s="100" t="s">
        <v>98</v>
      </c>
      <c r="AE18" s="4"/>
      <c r="AF18" s="100" t="s">
        <v>99</v>
      </c>
      <c r="AG18" s="4"/>
      <c r="AH18" s="100" t="s">
        <v>100</v>
      </c>
      <c r="AI18" s="4"/>
      <c r="AJ18" s="100" t="s">
        <v>101</v>
      </c>
      <c r="AK18" s="4"/>
      <c r="AL18" s="100" t="s">
        <v>102</v>
      </c>
      <c r="AM18" s="4"/>
      <c r="AN18" s="88" t="s">
        <v>97</v>
      </c>
      <c r="AO18" s="4"/>
      <c r="AP18" s="88" t="s">
        <v>98</v>
      </c>
      <c r="AQ18" s="4"/>
      <c r="AR18" s="88" t="s">
        <v>99</v>
      </c>
      <c r="AS18" s="4"/>
      <c r="AT18" s="88" t="s">
        <v>100</v>
      </c>
      <c r="AU18" s="4"/>
      <c r="AV18" s="88" t="s">
        <v>101</v>
      </c>
      <c r="AW18" s="4"/>
      <c r="AX18" s="88" t="s">
        <v>102</v>
      </c>
      <c r="AY18" s="4"/>
      <c r="AZ18" s="88" t="s">
        <v>102</v>
      </c>
      <c r="BA18" s="4"/>
      <c r="BB18" s="88" t="s">
        <v>97</v>
      </c>
      <c r="BC18" s="4"/>
    </row>
    <row r="19" ht="19.5" customHeight="1">
      <c r="B19" s="72"/>
      <c r="C19" s="37"/>
      <c r="D19" s="101" t="s">
        <v>103</v>
      </c>
      <c r="E19" s="101" t="s">
        <v>67</v>
      </c>
      <c r="F19" s="101" t="s">
        <v>103</v>
      </c>
      <c r="G19" s="101" t="s">
        <v>67</v>
      </c>
      <c r="H19" s="101" t="s">
        <v>103</v>
      </c>
      <c r="I19" s="101" t="s">
        <v>67</v>
      </c>
      <c r="J19" s="101" t="s">
        <v>103</v>
      </c>
      <c r="K19" s="101" t="s">
        <v>67</v>
      </c>
      <c r="L19" s="101" t="s">
        <v>103</v>
      </c>
      <c r="M19" s="101" t="s">
        <v>67</v>
      </c>
      <c r="N19" s="101" t="s">
        <v>103</v>
      </c>
      <c r="O19" s="101" t="s">
        <v>67</v>
      </c>
      <c r="P19" s="89" t="s">
        <v>103</v>
      </c>
      <c r="Q19" s="89" t="s">
        <v>67</v>
      </c>
      <c r="R19" s="89" t="s">
        <v>103</v>
      </c>
      <c r="S19" s="89" t="s">
        <v>67</v>
      </c>
      <c r="T19" s="89" t="s">
        <v>103</v>
      </c>
      <c r="U19" s="89" t="s">
        <v>67</v>
      </c>
      <c r="V19" s="89" t="s">
        <v>103</v>
      </c>
      <c r="W19" s="89" t="s">
        <v>67</v>
      </c>
      <c r="X19" s="89" t="s">
        <v>103</v>
      </c>
      <c r="Y19" s="89" t="s">
        <v>67</v>
      </c>
      <c r="Z19" s="89" t="s">
        <v>103</v>
      </c>
      <c r="AA19" s="89" t="s">
        <v>67</v>
      </c>
      <c r="AB19" s="101" t="s">
        <v>103</v>
      </c>
      <c r="AC19" s="101" t="s">
        <v>67</v>
      </c>
      <c r="AD19" s="101" t="s">
        <v>103</v>
      </c>
      <c r="AE19" s="101" t="s">
        <v>67</v>
      </c>
      <c r="AF19" s="101" t="s">
        <v>103</v>
      </c>
      <c r="AG19" s="101" t="s">
        <v>67</v>
      </c>
      <c r="AH19" s="101" t="s">
        <v>103</v>
      </c>
      <c r="AI19" s="101" t="s">
        <v>67</v>
      </c>
      <c r="AJ19" s="101" t="s">
        <v>103</v>
      </c>
      <c r="AK19" s="101" t="s">
        <v>67</v>
      </c>
      <c r="AL19" s="101" t="s">
        <v>103</v>
      </c>
      <c r="AM19" s="101" t="s">
        <v>67</v>
      </c>
      <c r="AN19" s="89" t="s">
        <v>103</v>
      </c>
      <c r="AO19" s="89" t="s">
        <v>67</v>
      </c>
      <c r="AP19" s="89" t="s">
        <v>103</v>
      </c>
      <c r="AQ19" s="89" t="s">
        <v>67</v>
      </c>
      <c r="AR19" s="89" t="s">
        <v>103</v>
      </c>
      <c r="AS19" s="89" t="s">
        <v>67</v>
      </c>
      <c r="AT19" s="89" t="s">
        <v>103</v>
      </c>
      <c r="AU19" s="89" t="s">
        <v>67</v>
      </c>
      <c r="AV19" s="89" t="s">
        <v>103</v>
      </c>
      <c r="AW19" s="89" t="s">
        <v>67</v>
      </c>
      <c r="AX19" s="89" t="s">
        <v>103</v>
      </c>
      <c r="AY19" s="89" t="s">
        <v>67</v>
      </c>
      <c r="AZ19" s="89" t="s">
        <v>103</v>
      </c>
      <c r="BA19" s="89" t="s">
        <v>67</v>
      </c>
      <c r="BB19" s="89" t="s">
        <v>103</v>
      </c>
      <c r="BC19" s="89" t="s">
        <v>67</v>
      </c>
    </row>
    <row r="20" ht="19.5" customHeight="1">
      <c r="B20" s="93" t="s">
        <v>104</v>
      </c>
      <c r="C20" s="90" t="s">
        <v>105</v>
      </c>
      <c r="D20" s="90"/>
      <c r="E20" s="90"/>
      <c r="F20" s="91" t="s">
        <v>106</v>
      </c>
      <c r="G20" s="76" t="s">
        <v>69</v>
      </c>
      <c r="H20" s="91" t="s">
        <v>107</v>
      </c>
      <c r="I20" s="76" t="s">
        <v>69</v>
      </c>
      <c r="J20" s="91" t="s">
        <v>89</v>
      </c>
      <c r="K20" s="76" t="s">
        <v>69</v>
      </c>
      <c r="L20" s="91" t="s">
        <v>108</v>
      </c>
      <c r="M20" s="76" t="s">
        <v>69</v>
      </c>
      <c r="N20" s="91" t="s">
        <v>109</v>
      </c>
      <c r="O20" s="76" t="s">
        <v>69</v>
      </c>
      <c r="P20" s="91" t="s">
        <v>110</v>
      </c>
      <c r="Q20" s="76" t="s">
        <v>69</v>
      </c>
      <c r="R20" s="91" t="s">
        <v>110</v>
      </c>
      <c r="S20" s="76" t="s">
        <v>69</v>
      </c>
      <c r="T20" s="91" t="s">
        <v>90</v>
      </c>
      <c r="U20" s="76" t="s">
        <v>69</v>
      </c>
      <c r="V20" s="91" t="s">
        <v>111</v>
      </c>
      <c r="W20" s="76" t="s">
        <v>69</v>
      </c>
      <c r="X20" s="91" t="s">
        <v>112</v>
      </c>
      <c r="Y20" s="77" t="s">
        <v>69</v>
      </c>
      <c r="Z20" s="92"/>
      <c r="AA20" s="78"/>
      <c r="AB20" s="91" t="s">
        <v>113</v>
      </c>
      <c r="AC20" s="77" t="s">
        <v>69</v>
      </c>
      <c r="AD20" s="91" t="s">
        <v>114</v>
      </c>
      <c r="AE20" s="77" t="s">
        <v>69</v>
      </c>
      <c r="AF20" s="92"/>
      <c r="AG20" s="78"/>
      <c r="AH20" s="92"/>
      <c r="AI20" s="78"/>
      <c r="AJ20" s="92"/>
      <c r="AK20" s="78"/>
      <c r="AL20" s="91" t="s">
        <v>115</v>
      </c>
      <c r="AM20" s="77" t="s">
        <v>69</v>
      </c>
      <c r="AN20" s="92"/>
      <c r="AO20" s="78"/>
      <c r="AP20" s="92"/>
      <c r="AQ20" s="78"/>
      <c r="AR20" s="92"/>
      <c r="AS20" s="78"/>
      <c r="AT20" s="92"/>
      <c r="AU20" s="78"/>
      <c r="AV20" s="92"/>
      <c r="AW20" s="78"/>
      <c r="AX20" s="92"/>
      <c r="AY20" s="78"/>
      <c r="AZ20" s="92"/>
      <c r="BA20" s="78"/>
      <c r="BB20" s="92"/>
      <c r="BC20" s="78"/>
    </row>
    <row r="21" ht="13.5" customHeight="1">
      <c r="B21" s="69" t="s">
        <v>64</v>
      </c>
      <c r="C21" s="70" t="s">
        <v>65</v>
      </c>
      <c r="D21" s="88" t="s">
        <v>83</v>
      </c>
      <c r="E21" s="4"/>
      <c r="F21" s="88" t="s">
        <v>84</v>
      </c>
      <c r="G21" s="4"/>
      <c r="H21" s="88" t="s">
        <v>85</v>
      </c>
      <c r="I21" s="4"/>
      <c r="J21" s="88" t="s">
        <v>86</v>
      </c>
      <c r="K21" s="4"/>
    </row>
    <row r="22" ht="13.5" customHeight="1">
      <c r="B22" s="102"/>
      <c r="C22" s="103"/>
      <c r="D22" s="73" t="s">
        <v>66</v>
      </c>
      <c r="E22" s="73" t="s">
        <v>67</v>
      </c>
      <c r="F22" s="73" t="s">
        <v>66</v>
      </c>
      <c r="G22" s="73" t="s">
        <v>67</v>
      </c>
      <c r="H22" s="73" t="s">
        <v>66</v>
      </c>
      <c r="I22" s="73" t="s">
        <v>67</v>
      </c>
      <c r="J22" s="73" t="s">
        <v>66</v>
      </c>
      <c r="K22" s="73" t="s">
        <v>67</v>
      </c>
    </row>
    <row r="23" ht="13.5" customHeight="1">
      <c r="B23" s="104" t="s">
        <v>116</v>
      </c>
      <c r="C23" s="90" t="s">
        <v>117</v>
      </c>
      <c r="D23" s="77" t="s">
        <v>89</v>
      </c>
      <c r="E23" s="76" t="s">
        <v>69</v>
      </c>
      <c r="F23" s="77" t="s">
        <v>111</v>
      </c>
      <c r="G23" s="77" t="s">
        <v>69</v>
      </c>
      <c r="H23" s="78"/>
      <c r="I23" s="78"/>
      <c r="J23" s="78"/>
      <c r="K23" s="78"/>
      <c r="L23" s="13"/>
      <c r="M23" s="13"/>
      <c r="N23" s="13"/>
      <c r="O23" s="13"/>
      <c r="P23" s="13"/>
      <c r="Q23" s="13"/>
      <c r="R23" s="13"/>
      <c r="S23" s="13"/>
      <c r="T23" s="13"/>
    </row>
    <row r="24" ht="13.5" customHeight="1">
      <c r="U24" s="105" t="s">
        <v>118</v>
      </c>
    </row>
    <row r="25" ht="13.5" customHeight="1">
      <c r="B25" s="106" t="s">
        <v>119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ht="13.5" customHeight="1">
      <c r="B26" s="107" t="s">
        <v>120</v>
      </c>
      <c r="C26" s="107" t="s">
        <v>65</v>
      </c>
      <c r="D26" s="107" t="s">
        <v>121</v>
      </c>
      <c r="E26" s="107" t="s">
        <v>103</v>
      </c>
      <c r="F26" s="107" t="s">
        <v>67</v>
      </c>
      <c r="G26" s="108" t="s">
        <v>121</v>
      </c>
      <c r="H26" s="107" t="s">
        <v>122</v>
      </c>
      <c r="I26" s="107" t="s">
        <v>103</v>
      </c>
      <c r="J26" s="107" t="s">
        <v>67</v>
      </c>
      <c r="K26" s="107" t="s">
        <v>121</v>
      </c>
      <c r="L26" s="107" t="s">
        <v>122</v>
      </c>
      <c r="M26" s="107" t="s">
        <v>103</v>
      </c>
      <c r="N26" s="107" t="s">
        <v>67</v>
      </c>
      <c r="O26" s="107" t="s">
        <v>121</v>
      </c>
      <c r="P26" s="107" t="s">
        <v>122</v>
      </c>
      <c r="Q26" s="107" t="s">
        <v>103</v>
      </c>
      <c r="R26" s="107" t="s">
        <v>67</v>
      </c>
    </row>
    <row r="27" ht="13.5" customHeight="1">
      <c r="B27" s="109" t="s">
        <v>40</v>
      </c>
      <c r="C27" s="110" t="s">
        <v>123</v>
      </c>
      <c r="D27" s="90">
        <v>1.0</v>
      </c>
      <c r="E27" s="111"/>
      <c r="F27" s="112"/>
      <c r="G27" s="90">
        <v>34.0</v>
      </c>
      <c r="H27" s="112"/>
      <c r="I27" s="111"/>
      <c r="J27" s="112"/>
      <c r="K27" s="90">
        <v>67.0</v>
      </c>
      <c r="L27" s="112"/>
      <c r="M27" s="111"/>
      <c r="N27" s="112"/>
      <c r="O27" s="90">
        <v>100.0</v>
      </c>
      <c r="P27" s="92"/>
      <c r="Q27" s="111"/>
      <c r="R27" s="112"/>
    </row>
    <row r="28" ht="13.5" customHeight="1">
      <c r="B28" s="103"/>
      <c r="C28" s="103"/>
      <c r="D28" s="90">
        <v>2.0</v>
      </c>
      <c r="E28" s="111"/>
      <c r="F28" s="112"/>
      <c r="G28" s="90">
        <v>35.0</v>
      </c>
      <c r="H28" s="112"/>
      <c r="I28" s="111"/>
      <c r="J28" s="112"/>
      <c r="K28" s="90">
        <v>68.0</v>
      </c>
      <c r="L28" s="112"/>
      <c r="M28" s="111"/>
      <c r="N28" s="112"/>
      <c r="O28" s="90">
        <v>101.0</v>
      </c>
      <c r="P28" s="92"/>
      <c r="Q28" s="111"/>
      <c r="R28" s="112"/>
    </row>
    <row r="29" ht="13.5" customHeight="1">
      <c r="B29" s="103"/>
      <c r="C29" s="103"/>
      <c r="D29" s="90">
        <v>3.0</v>
      </c>
      <c r="E29" s="111"/>
      <c r="F29" s="112"/>
      <c r="G29" s="90">
        <v>36.0</v>
      </c>
      <c r="H29" s="112"/>
      <c r="I29" s="111"/>
      <c r="J29" s="92"/>
      <c r="K29" s="90">
        <v>69.0</v>
      </c>
      <c r="L29" s="112"/>
      <c r="M29" s="111"/>
      <c r="N29" s="112"/>
      <c r="O29" s="90">
        <v>102.0</v>
      </c>
      <c r="P29" s="112"/>
      <c r="Q29" s="111"/>
      <c r="R29" s="112"/>
    </row>
    <row r="30" ht="13.5" customHeight="1">
      <c r="B30" s="103"/>
      <c r="C30" s="103"/>
      <c r="D30" s="90">
        <v>4.0</v>
      </c>
      <c r="E30" s="111"/>
      <c r="F30" s="112"/>
      <c r="G30" s="90">
        <v>37.0</v>
      </c>
      <c r="H30" s="112"/>
      <c r="I30" s="111"/>
      <c r="J30" s="92"/>
      <c r="K30" s="90">
        <v>70.0</v>
      </c>
      <c r="L30" s="92"/>
      <c r="M30" s="111"/>
      <c r="N30" s="92"/>
      <c r="O30" s="90">
        <v>103.0</v>
      </c>
      <c r="P30" s="112"/>
      <c r="Q30" s="111"/>
      <c r="R30" s="112"/>
    </row>
    <row r="31" ht="13.5" customHeight="1">
      <c r="B31" s="103"/>
      <c r="C31" s="103"/>
      <c r="D31" s="90">
        <v>5.0</v>
      </c>
      <c r="E31" s="113"/>
      <c r="F31" s="112"/>
      <c r="G31" s="90">
        <v>38.0</v>
      </c>
      <c r="H31" s="112"/>
      <c r="I31" s="111"/>
      <c r="J31" s="112"/>
      <c r="K31" s="90">
        <v>71.0</v>
      </c>
      <c r="L31" s="112"/>
      <c r="M31" s="111"/>
      <c r="N31" s="112"/>
      <c r="O31" s="90">
        <v>104.0</v>
      </c>
      <c r="P31" s="112"/>
      <c r="Q31" s="111"/>
      <c r="R31" s="112"/>
    </row>
    <row r="32" ht="13.5" customHeight="1">
      <c r="B32" s="103"/>
      <c r="C32" s="103"/>
      <c r="D32" s="90">
        <v>6.0</v>
      </c>
      <c r="E32" s="111"/>
      <c r="F32" s="112"/>
      <c r="G32" s="90">
        <v>39.0</v>
      </c>
      <c r="H32" s="112"/>
      <c r="I32" s="111"/>
      <c r="J32" s="112"/>
      <c r="K32" s="90">
        <v>72.0</v>
      </c>
      <c r="L32" s="92"/>
      <c r="M32" s="111"/>
      <c r="N32" s="92"/>
      <c r="O32" s="90">
        <v>105.0</v>
      </c>
      <c r="P32" s="112"/>
      <c r="Q32" s="111"/>
      <c r="R32" s="112"/>
    </row>
    <row r="33" ht="13.5" customHeight="1">
      <c r="B33" s="103"/>
      <c r="C33" s="103"/>
      <c r="D33" s="90">
        <v>7.0</v>
      </c>
      <c r="E33" s="111"/>
      <c r="F33" s="112"/>
      <c r="G33" s="90">
        <v>40.0</v>
      </c>
      <c r="H33" s="112"/>
      <c r="I33" s="111"/>
      <c r="J33" s="112"/>
      <c r="K33" s="90">
        <v>73.0</v>
      </c>
      <c r="L33" s="92"/>
      <c r="M33" s="111"/>
      <c r="N33" s="112"/>
      <c r="O33" s="90">
        <v>106.0</v>
      </c>
      <c r="P33" s="112"/>
      <c r="Q33" s="111"/>
      <c r="R33" s="112"/>
    </row>
    <row r="34" ht="13.5" customHeight="1">
      <c r="B34" s="103"/>
      <c r="C34" s="103"/>
      <c r="D34" s="90">
        <v>8.0</v>
      </c>
      <c r="E34" s="111"/>
      <c r="F34" s="112"/>
      <c r="G34" s="90">
        <v>41.0</v>
      </c>
      <c r="H34" s="112"/>
      <c r="I34" s="111"/>
      <c r="J34" s="112"/>
      <c r="K34" s="90">
        <v>74.0</v>
      </c>
      <c r="L34" s="92"/>
      <c r="M34" s="111"/>
      <c r="N34" s="112"/>
      <c r="O34" s="90">
        <v>107.0</v>
      </c>
      <c r="P34" s="112"/>
      <c r="Q34" s="111"/>
      <c r="R34" s="112"/>
    </row>
    <row r="35" ht="13.5" customHeight="1">
      <c r="B35" s="103"/>
      <c r="C35" s="103"/>
      <c r="D35" s="90">
        <v>9.0</v>
      </c>
      <c r="E35" s="111"/>
      <c r="F35" s="112"/>
      <c r="G35" s="90">
        <v>42.0</v>
      </c>
      <c r="H35" s="112"/>
      <c r="I35" s="111"/>
      <c r="J35" s="92"/>
      <c r="K35" s="90">
        <v>75.0</v>
      </c>
      <c r="L35" s="92"/>
      <c r="M35" s="111"/>
      <c r="N35" s="112"/>
      <c r="O35" s="90">
        <v>108.0</v>
      </c>
      <c r="P35" s="92"/>
      <c r="Q35" s="111"/>
      <c r="R35" s="92"/>
    </row>
    <row r="36" ht="13.5" customHeight="1">
      <c r="B36" s="103"/>
      <c r="C36" s="103"/>
      <c r="D36" s="90">
        <v>10.0</v>
      </c>
      <c r="E36" s="111"/>
      <c r="F36" s="112"/>
      <c r="G36" s="90">
        <v>43.0</v>
      </c>
      <c r="H36" s="112"/>
      <c r="I36" s="111"/>
      <c r="J36" s="112"/>
      <c r="K36" s="90">
        <v>76.0</v>
      </c>
      <c r="L36" s="92"/>
      <c r="M36" s="111"/>
      <c r="N36" s="112"/>
      <c r="O36" s="90">
        <v>109.0</v>
      </c>
      <c r="P36" s="112"/>
      <c r="Q36" s="111"/>
      <c r="R36" s="112"/>
    </row>
    <row r="37" ht="13.5" customHeight="1">
      <c r="B37" s="103"/>
      <c r="C37" s="103"/>
      <c r="D37" s="90">
        <v>11.0</v>
      </c>
      <c r="E37" s="111"/>
      <c r="F37" s="112"/>
      <c r="G37" s="90">
        <v>44.0</v>
      </c>
      <c r="H37" s="112"/>
      <c r="I37" s="111"/>
      <c r="J37" s="112"/>
      <c r="K37" s="90">
        <v>77.0</v>
      </c>
      <c r="L37" s="112"/>
      <c r="M37" s="111"/>
      <c r="N37" s="112"/>
      <c r="O37" s="90">
        <v>110.0</v>
      </c>
      <c r="P37" s="92"/>
      <c r="Q37" s="111"/>
      <c r="R37" s="92"/>
    </row>
    <row r="38" ht="13.5" customHeight="1">
      <c r="B38" s="103"/>
      <c r="C38" s="103"/>
      <c r="D38" s="90">
        <v>12.0</v>
      </c>
      <c r="E38" s="111"/>
      <c r="F38" s="112"/>
      <c r="G38" s="90">
        <v>45.0</v>
      </c>
      <c r="H38" s="112"/>
      <c r="I38" s="111"/>
      <c r="J38" s="112"/>
      <c r="K38" s="90">
        <v>78.0</v>
      </c>
      <c r="L38" s="112"/>
      <c r="M38" s="111"/>
      <c r="N38" s="112"/>
      <c r="O38" s="90">
        <v>111.0</v>
      </c>
      <c r="P38" s="92"/>
      <c r="Q38" s="111"/>
      <c r="R38" s="112"/>
    </row>
    <row r="39" ht="13.5" customHeight="1">
      <c r="B39" s="103"/>
      <c r="C39" s="103"/>
      <c r="D39" s="90">
        <v>13.0</v>
      </c>
      <c r="E39" s="111"/>
      <c r="F39" s="112"/>
      <c r="G39" s="90">
        <v>46.0</v>
      </c>
      <c r="H39" s="112"/>
      <c r="I39" s="111"/>
      <c r="J39" s="112"/>
      <c r="K39" s="90">
        <v>79.0</v>
      </c>
      <c r="L39" s="92"/>
      <c r="M39" s="111"/>
      <c r="N39" s="92"/>
      <c r="O39" s="90">
        <v>112.0</v>
      </c>
      <c r="P39" s="112"/>
      <c r="Q39" s="111"/>
      <c r="R39" s="112"/>
    </row>
    <row r="40" ht="13.5" customHeight="1">
      <c r="B40" s="103"/>
      <c r="C40" s="103"/>
      <c r="D40" s="90">
        <v>14.0</v>
      </c>
      <c r="E40" s="111"/>
      <c r="F40" s="112"/>
      <c r="G40" s="90">
        <v>47.0</v>
      </c>
      <c r="H40" s="112"/>
      <c r="I40" s="111"/>
      <c r="J40" s="112"/>
      <c r="K40" s="90">
        <v>80.0</v>
      </c>
      <c r="L40" s="112"/>
      <c r="M40" s="111"/>
      <c r="N40" s="112"/>
      <c r="O40" s="90">
        <v>113.0</v>
      </c>
      <c r="P40" s="112"/>
      <c r="Q40" s="111"/>
      <c r="R40" s="112"/>
    </row>
    <row r="41" ht="13.5" customHeight="1">
      <c r="B41" s="103"/>
      <c r="C41" s="103"/>
      <c r="D41" s="90">
        <v>15.0</v>
      </c>
      <c r="E41" s="111"/>
      <c r="F41" s="112"/>
      <c r="G41" s="90">
        <v>48.0</v>
      </c>
      <c r="H41" s="112"/>
      <c r="I41" s="111"/>
      <c r="J41" s="112"/>
      <c r="K41" s="90">
        <v>81.0</v>
      </c>
      <c r="L41" s="112"/>
      <c r="M41" s="111"/>
      <c r="N41" s="112"/>
      <c r="O41" s="90">
        <v>114.0</v>
      </c>
      <c r="P41" s="92"/>
      <c r="Q41" s="111"/>
      <c r="R41" s="112"/>
    </row>
    <row r="42" ht="13.5" customHeight="1">
      <c r="B42" s="103"/>
      <c r="C42" s="103"/>
      <c r="D42" s="90">
        <v>16.0</v>
      </c>
      <c r="E42" s="111"/>
      <c r="F42" s="112"/>
      <c r="G42" s="90">
        <v>49.0</v>
      </c>
      <c r="H42" s="112"/>
      <c r="I42" s="111"/>
      <c r="J42" s="112"/>
      <c r="K42" s="90">
        <v>82.0</v>
      </c>
      <c r="L42" s="112"/>
      <c r="M42" s="111"/>
      <c r="N42" s="112"/>
      <c r="O42" s="90">
        <v>115.0</v>
      </c>
      <c r="P42" s="112"/>
      <c r="Q42" s="111"/>
      <c r="R42" s="112"/>
    </row>
    <row r="43" ht="13.5" customHeight="1">
      <c r="B43" s="103"/>
      <c r="C43" s="103"/>
      <c r="D43" s="90">
        <v>17.0</v>
      </c>
      <c r="E43" s="111"/>
      <c r="F43" s="112"/>
      <c r="G43" s="90">
        <v>50.0</v>
      </c>
      <c r="H43" s="112"/>
      <c r="I43" s="111"/>
      <c r="J43" s="112"/>
      <c r="K43" s="90">
        <v>83.0</v>
      </c>
      <c r="L43" s="112"/>
      <c r="M43" s="111"/>
      <c r="N43" s="112"/>
      <c r="O43" s="90">
        <v>116.0</v>
      </c>
      <c r="P43" s="112"/>
      <c r="Q43" s="111"/>
      <c r="R43" s="112"/>
    </row>
    <row r="44" ht="13.5" customHeight="1">
      <c r="B44" s="103"/>
      <c r="C44" s="103"/>
      <c r="D44" s="90">
        <v>18.0</v>
      </c>
      <c r="E44" s="111"/>
      <c r="F44" s="112"/>
      <c r="G44" s="90">
        <v>51.0</v>
      </c>
      <c r="H44" s="92"/>
      <c r="I44" s="111"/>
      <c r="J44" s="112"/>
      <c r="K44" s="90">
        <v>84.0</v>
      </c>
      <c r="L44" s="92"/>
      <c r="M44" s="111"/>
      <c r="N44" s="92"/>
      <c r="O44" s="90">
        <v>117.0</v>
      </c>
      <c r="P44" s="112"/>
      <c r="Q44" s="111"/>
      <c r="R44" s="112"/>
    </row>
    <row r="45" ht="13.5" customHeight="1">
      <c r="B45" s="103"/>
      <c r="C45" s="103"/>
      <c r="D45" s="90">
        <v>19.0</v>
      </c>
      <c r="E45" s="111"/>
      <c r="F45" s="112"/>
      <c r="G45" s="90">
        <v>52.0</v>
      </c>
      <c r="H45" s="92"/>
      <c r="I45" s="111"/>
      <c r="J45" s="112"/>
      <c r="K45" s="90">
        <v>85.0</v>
      </c>
      <c r="L45" s="112"/>
      <c r="M45" s="111"/>
      <c r="N45" s="112"/>
      <c r="O45" s="90">
        <v>118.0</v>
      </c>
      <c r="P45" s="112"/>
      <c r="Q45" s="111"/>
      <c r="R45" s="112"/>
    </row>
    <row r="46" ht="13.5" customHeight="1">
      <c r="B46" s="103"/>
      <c r="C46" s="103"/>
      <c r="D46" s="90">
        <v>20.0</v>
      </c>
      <c r="E46" s="111"/>
      <c r="F46" s="112"/>
      <c r="G46" s="90">
        <v>53.0</v>
      </c>
      <c r="H46" s="92"/>
      <c r="I46" s="111"/>
      <c r="J46" s="112"/>
      <c r="K46" s="90">
        <v>86.0</v>
      </c>
      <c r="L46" s="112"/>
      <c r="M46" s="111"/>
      <c r="N46" s="112"/>
      <c r="O46" s="90">
        <v>119.0</v>
      </c>
      <c r="P46" s="112"/>
      <c r="Q46" s="111"/>
      <c r="R46" s="112"/>
    </row>
    <row r="47" ht="13.5" customHeight="1">
      <c r="B47" s="103"/>
      <c r="C47" s="103"/>
      <c r="D47" s="90">
        <v>21.0</v>
      </c>
      <c r="E47" s="111"/>
      <c r="F47" s="112"/>
      <c r="G47" s="90">
        <v>54.0</v>
      </c>
      <c r="H47" s="92"/>
      <c r="I47" s="111"/>
      <c r="J47" s="112"/>
      <c r="K47" s="90">
        <v>87.0</v>
      </c>
      <c r="L47" s="112"/>
      <c r="M47" s="111"/>
      <c r="N47" s="112"/>
      <c r="O47" s="90">
        <v>120.0</v>
      </c>
      <c r="P47" s="112"/>
      <c r="Q47" s="111"/>
      <c r="R47" s="112"/>
    </row>
    <row r="48" ht="13.5" customHeight="1">
      <c r="B48" s="103"/>
      <c r="C48" s="103"/>
      <c r="D48" s="90">
        <v>22.0</v>
      </c>
      <c r="E48" s="111"/>
      <c r="F48" s="112"/>
      <c r="G48" s="90">
        <v>55.0</v>
      </c>
      <c r="H48" s="112"/>
      <c r="I48" s="111"/>
      <c r="J48" s="112"/>
      <c r="K48" s="90">
        <v>88.0</v>
      </c>
      <c r="L48" s="112"/>
      <c r="M48" s="111"/>
      <c r="N48" s="112"/>
      <c r="O48" s="90">
        <v>121.0</v>
      </c>
      <c r="P48" s="112"/>
      <c r="Q48" s="111"/>
      <c r="R48" s="112"/>
    </row>
    <row r="49" ht="13.5" customHeight="1">
      <c r="B49" s="103"/>
      <c r="C49" s="103"/>
      <c r="D49" s="90">
        <v>23.0</v>
      </c>
      <c r="E49" s="111"/>
      <c r="F49" s="112"/>
      <c r="G49" s="90">
        <v>56.0</v>
      </c>
      <c r="H49" s="92"/>
      <c r="I49" s="111"/>
      <c r="J49" s="112"/>
      <c r="K49" s="90">
        <v>89.0</v>
      </c>
      <c r="L49" s="112"/>
      <c r="M49" s="111"/>
      <c r="N49" s="112"/>
      <c r="O49" s="90">
        <v>122.0</v>
      </c>
      <c r="P49" s="112"/>
      <c r="Q49" s="111"/>
      <c r="R49" s="112"/>
    </row>
    <row r="50" ht="13.5" customHeight="1">
      <c r="B50" s="103"/>
      <c r="C50" s="103"/>
      <c r="D50" s="90">
        <v>24.0</v>
      </c>
      <c r="E50" s="111"/>
      <c r="F50" s="112"/>
      <c r="G50" s="90">
        <v>57.0</v>
      </c>
      <c r="H50" s="112"/>
      <c r="I50" s="111"/>
      <c r="J50" s="112"/>
      <c r="K50" s="90">
        <v>90.0</v>
      </c>
      <c r="L50" s="112"/>
      <c r="M50" s="111"/>
      <c r="N50" s="112"/>
      <c r="O50" s="90">
        <v>123.0</v>
      </c>
      <c r="P50" s="92"/>
      <c r="Q50" s="111"/>
      <c r="R50" s="92"/>
    </row>
    <row r="51" ht="13.5" customHeight="1">
      <c r="B51" s="103"/>
      <c r="C51" s="103"/>
      <c r="D51" s="90">
        <v>25.0</v>
      </c>
      <c r="E51" s="111"/>
      <c r="F51" s="112"/>
      <c r="G51" s="90">
        <v>58.0</v>
      </c>
      <c r="H51" s="112"/>
      <c r="I51" s="111"/>
      <c r="J51" s="112"/>
      <c r="K51" s="90">
        <v>91.0</v>
      </c>
      <c r="L51" s="112"/>
      <c r="M51" s="111"/>
      <c r="N51" s="112"/>
      <c r="O51" s="90">
        <v>124.0</v>
      </c>
      <c r="P51" s="112"/>
      <c r="Q51" s="111"/>
      <c r="R51" s="112"/>
    </row>
    <row r="52" ht="13.5" customHeight="1">
      <c r="B52" s="103"/>
      <c r="C52" s="103"/>
      <c r="D52" s="90">
        <v>26.0</v>
      </c>
      <c r="E52" s="111"/>
      <c r="F52" s="112"/>
      <c r="G52" s="90">
        <v>59.0</v>
      </c>
      <c r="H52" s="92"/>
      <c r="I52" s="111"/>
      <c r="J52" s="112"/>
      <c r="K52" s="90">
        <v>92.0</v>
      </c>
      <c r="L52" s="112"/>
      <c r="M52" s="111"/>
      <c r="N52" s="112"/>
      <c r="O52" s="90">
        <v>125.0</v>
      </c>
      <c r="P52" s="92"/>
      <c r="Q52" s="111"/>
      <c r="R52" s="92"/>
    </row>
    <row r="53" ht="13.5" customHeight="1">
      <c r="B53" s="103"/>
      <c r="C53" s="103"/>
      <c r="D53" s="90">
        <v>27.0</v>
      </c>
      <c r="E53" s="111"/>
      <c r="F53" s="112"/>
      <c r="G53" s="90">
        <v>60.0</v>
      </c>
      <c r="H53" s="112"/>
      <c r="I53" s="111"/>
      <c r="J53" s="112"/>
      <c r="K53" s="90">
        <v>93.0</v>
      </c>
      <c r="L53" s="112"/>
      <c r="M53" s="111"/>
      <c r="N53" s="112"/>
      <c r="O53" s="90">
        <v>126.0</v>
      </c>
      <c r="P53" s="92"/>
      <c r="Q53" s="111"/>
      <c r="R53" s="112"/>
    </row>
    <row r="54" ht="13.5" customHeight="1">
      <c r="B54" s="103"/>
      <c r="C54" s="103"/>
      <c r="D54" s="90">
        <v>28.0</v>
      </c>
      <c r="E54" s="111"/>
      <c r="F54" s="112"/>
      <c r="G54" s="90">
        <v>61.0</v>
      </c>
      <c r="H54" s="112"/>
      <c r="I54" s="111"/>
      <c r="J54" s="112"/>
      <c r="K54" s="90">
        <v>94.0</v>
      </c>
      <c r="L54" s="112"/>
      <c r="M54" s="111"/>
      <c r="N54" s="92"/>
      <c r="O54" s="90">
        <v>127.0</v>
      </c>
      <c r="P54" s="112"/>
      <c r="Q54" s="111"/>
      <c r="R54" s="112"/>
    </row>
    <row r="55" ht="13.5" customHeight="1">
      <c r="B55" s="103"/>
      <c r="C55" s="103"/>
      <c r="D55" s="90">
        <v>29.0</v>
      </c>
      <c r="E55" s="111"/>
      <c r="F55" s="112"/>
      <c r="G55" s="90">
        <v>62.0</v>
      </c>
      <c r="H55" s="92"/>
      <c r="I55" s="111"/>
      <c r="J55" s="112"/>
      <c r="K55" s="90">
        <v>95.0</v>
      </c>
      <c r="L55" s="112"/>
      <c r="M55" s="111"/>
      <c r="N55" s="112"/>
      <c r="O55" s="90">
        <v>128.0</v>
      </c>
      <c r="P55" s="112"/>
      <c r="Q55" s="111"/>
      <c r="R55" s="112"/>
    </row>
    <row r="56" ht="13.5" customHeight="1">
      <c r="B56" s="103"/>
      <c r="C56" s="103"/>
      <c r="D56" s="90">
        <v>30.0</v>
      </c>
      <c r="E56" s="111"/>
      <c r="F56" s="112"/>
      <c r="G56" s="90">
        <v>63.0</v>
      </c>
      <c r="H56" s="92"/>
      <c r="I56" s="111"/>
      <c r="J56" s="112"/>
      <c r="K56" s="90">
        <v>96.0</v>
      </c>
      <c r="L56" s="112"/>
      <c r="M56" s="111"/>
      <c r="N56" s="92"/>
      <c r="O56" s="90">
        <v>129.0</v>
      </c>
      <c r="P56" s="92"/>
      <c r="Q56" s="111"/>
      <c r="R56" s="112"/>
    </row>
    <row r="57" ht="13.5" customHeight="1">
      <c r="B57" s="103"/>
      <c r="C57" s="103"/>
      <c r="D57" s="90">
        <v>31.0</v>
      </c>
      <c r="E57" s="111"/>
      <c r="F57" s="112"/>
      <c r="G57" s="90">
        <v>64.0</v>
      </c>
      <c r="H57" s="92"/>
      <c r="I57" s="111"/>
      <c r="J57" s="112"/>
      <c r="K57" s="90">
        <v>97.0</v>
      </c>
      <c r="L57" s="112"/>
      <c r="M57" s="111"/>
      <c r="N57" s="112"/>
      <c r="O57" s="90">
        <v>130.0</v>
      </c>
      <c r="P57" s="112"/>
      <c r="Q57" s="111"/>
      <c r="R57" s="112"/>
    </row>
    <row r="58" ht="13.5" customHeight="1">
      <c r="B58" s="103"/>
      <c r="C58" s="103"/>
      <c r="D58" s="90">
        <v>32.0</v>
      </c>
      <c r="E58" s="111"/>
      <c r="F58" s="112"/>
      <c r="G58" s="90">
        <v>65.0</v>
      </c>
      <c r="H58" s="92"/>
      <c r="I58" s="111"/>
      <c r="J58" s="112"/>
      <c r="K58" s="90">
        <v>98.0</v>
      </c>
      <c r="L58" s="112"/>
      <c r="M58" s="111"/>
      <c r="N58" s="112"/>
      <c r="O58" s="90">
        <v>131.0</v>
      </c>
      <c r="P58" s="112"/>
      <c r="Q58" s="111"/>
      <c r="R58" s="112"/>
    </row>
    <row r="59" ht="13.5" customHeight="1">
      <c r="B59" s="37"/>
      <c r="C59" s="37"/>
      <c r="D59" s="90">
        <v>33.0</v>
      </c>
      <c r="E59" s="111"/>
      <c r="F59" s="112"/>
      <c r="G59" s="90">
        <v>66.0</v>
      </c>
      <c r="H59" s="92"/>
      <c r="I59" s="111"/>
      <c r="J59" s="112"/>
      <c r="K59" s="90">
        <v>99.0</v>
      </c>
      <c r="L59" s="112"/>
      <c r="M59" s="111"/>
      <c r="N59" s="112"/>
      <c r="O59" s="90">
        <v>132.0</v>
      </c>
      <c r="P59" s="112"/>
      <c r="Q59" s="111"/>
      <c r="R59" s="112"/>
      <c r="S59" s="21"/>
      <c r="T59" s="21"/>
      <c r="U59" s="21"/>
      <c r="V59" s="21"/>
    </row>
    <row r="60" ht="33.0" customHeight="1">
      <c r="B60" s="114" t="s">
        <v>124</v>
      </c>
      <c r="C60" s="115" t="s">
        <v>125</v>
      </c>
      <c r="D60" s="116" t="s">
        <v>126</v>
      </c>
      <c r="E60" s="116" t="s">
        <v>127</v>
      </c>
      <c r="F60" s="116" t="s">
        <v>103</v>
      </c>
      <c r="G60" s="116" t="s">
        <v>128</v>
      </c>
      <c r="H60" s="116" t="s">
        <v>103</v>
      </c>
      <c r="I60" s="116" t="s">
        <v>129</v>
      </c>
      <c r="J60" s="116" t="s">
        <v>103</v>
      </c>
      <c r="K60" s="116" t="s">
        <v>130</v>
      </c>
      <c r="L60" s="116" t="s">
        <v>127</v>
      </c>
      <c r="M60" s="116" t="s">
        <v>103</v>
      </c>
      <c r="N60" s="116" t="s">
        <v>131</v>
      </c>
      <c r="O60" s="116" t="s">
        <v>127</v>
      </c>
      <c r="P60" s="116" t="s">
        <v>103</v>
      </c>
      <c r="Q60" s="116" t="s">
        <v>132</v>
      </c>
      <c r="R60" s="116" t="s">
        <v>127</v>
      </c>
      <c r="S60" s="116" t="s">
        <v>103</v>
      </c>
      <c r="T60" s="116" t="s">
        <v>133</v>
      </c>
      <c r="U60" s="117" t="s">
        <v>127</v>
      </c>
      <c r="V60" s="116" t="s">
        <v>103</v>
      </c>
    </row>
    <row r="61" ht="13.5" customHeight="1">
      <c r="B61" s="103"/>
      <c r="C61" s="103"/>
      <c r="D61" s="90" t="s">
        <v>134</v>
      </c>
      <c r="E61" s="90" t="s">
        <v>135</v>
      </c>
      <c r="F61" s="78"/>
      <c r="G61" s="90" t="s">
        <v>136</v>
      </c>
      <c r="H61" s="78"/>
      <c r="I61" s="90" t="s">
        <v>137</v>
      </c>
      <c r="J61" s="78"/>
      <c r="K61" s="90" t="s">
        <v>138</v>
      </c>
      <c r="L61" s="112" t="s">
        <v>139</v>
      </c>
      <c r="M61" s="78"/>
      <c r="N61" s="90" t="s">
        <v>140</v>
      </c>
      <c r="O61" s="90" t="s">
        <v>141</v>
      </c>
      <c r="P61" s="78"/>
      <c r="Q61" s="90" t="s">
        <v>140</v>
      </c>
      <c r="R61" s="90" t="s">
        <v>142</v>
      </c>
      <c r="S61" s="78"/>
      <c r="T61" s="90" t="s">
        <v>133</v>
      </c>
      <c r="U61" s="90" t="s">
        <v>143</v>
      </c>
      <c r="V61" s="78"/>
    </row>
    <row r="62" ht="13.5" customHeight="1">
      <c r="B62" s="103"/>
      <c r="C62" s="103"/>
      <c r="D62" s="90" t="s">
        <v>144</v>
      </c>
      <c r="E62" s="90" t="s">
        <v>135</v>
      </c>
      <c r="F62" s="78"/>
      <c r="G62" s="90" t="s">
        <v>145</v>
      </c>
      <c r="H62" s="78"/>
      <c r="I62" s="90" t="s">
        <v>146</v>
      </c>
      <c r="J62" s="78"/>
      <c r="K62" s="90" t="s">
        <v>147</v>
      </c>
      <c r="L62" s="112" t="s">
        <v>148</v>
      </c>
      <c r="M62" s="78"/>
      <c r="N62" s="90" t="s">
        <v>149</v>
      </c>
      <c r="O62" s="90" t="s">
        <v>141</v>
      </c>
      <c r="P62" s="78"/>
      <c r="Q62" s="90" t="s">
        <v>149</v>
      </c>
      <c r="R62" s="90" t="s">
        <v>142</v>
      </c>
      <c r="S62" s="78"/>
      <c r="T62" s="90" t="s">
        <v>150</v>
      </c>
      <c r="U62" s="90" t="s">
        <v>151</v>
      </c>
      <c r="V62" s="78"/>
    </row>
    <row r="63" ht="13.5" customHeight="1">
      <c r="B63" s="103"/>
      <c r="C63" s="103"/>
      <c r="D63" s="90" t="s">
        <v>152</v>
      </c>
      <c r="E63" s="90" t="s">
        <v>153</v>
      </c>
      <c r="F63" s="78"/>
      <c r="G63" s="90" t="s">
        <v>154</v>
      </c>
      <c r="H63" s="78"/>
      <c r="I63" s="90" t="s">
        <v>155</v>
      </c>
      <c r="J63" s="78"/>
      <c r="K63" s="90" t="s">
        <v>156</v>
      </c>
      <c r="L63" s="112" t="s">
        <v>157</v>
      </c>
      <c r="M63" s="78"/>
      <c r="N63" s="90" t="s">
        <v>140</v>
      </c>
      <c r="O63" s="90" t="s">
        <v>157</v>
      </c>
      <c r="P63" s="78"/>
      <c r="Q63" s="90" t="s">
        <v>158</v>
      </c>
      <c r="R63" s="90" t="s">
        <v>142</v>
      </c>
      <c r="S63" s="78"/>
      <c r="T63" s="90" t="s">
        <v>159</v>
      </c>
      <c r="U63" s="90" t="s">
        <v>151</v>
      </c>
      <c r="V63" s="78"/>
    </row>
    <row r="64" ht="13.5" customHeight="1">
      <c r="B64" s="103"/>
      <c r="C64" s="103"/>
      <c r="D64" s="90" t="s">
        <v>160</v>
      </c>
      <c r="E64" s="90" t="s">
        <v>153</v>
      </c>
      <c r="F64" s="78"/>
      <c r="G64" s="90" t="s">
        <v>161</v>
      </c>
      <c r="H64" s="78"/>
      <c r="I64" s="90" t="s">
        <v>162</v>
      </c>
      <c r="J64" s="78"/>
      <c r="K64" s="90" t="s">
        <v>147</v>
      </c>
      <c r="L64" s="112" t="s">
        <v>157</v>
      </c>
      <c r="M64" s="78"/>
      <c r="N64" s="90" t="s">
        <v>149</v>
      </c>
      <c r="O64" s="90" t="s">
        <v>157</v>
      </c>
      <c r="P64" s="78"/>
      <c r="Q64" s="90" t="s">
        <v>163</v>
      </c>
      <c r="R64" s="90" t="s">
        <v>164</v>
      </c>
      <c r="S64" s="78"/>
      <c r="T64" s="90" t="s">
        <v>150</v>
      </c>
      <c r="U64" s="90" t="s">
        <v>165</v>
      </c>
      <c r="V64" s="78"/>
    </row>
    <row r="65" ht="13.5" customHeight="1">
      <c r="B65" s="103"/>
      <c r="C65" s="103"/>
      <c r="D65" s="90" t="s">
        <v>166</v>
      </c>
      <c r="E65" s="90" t="s">
        <v>167</v>
      </c>
      <c r="F65" s="78"/>
      <c r="G65" s="90"/>
      <c r="H65" s="79"/>
      <c r="I65" s="90"/>
      <c r="J65" s="79"/>
      <c r="K65" s="90" t="s">
        <v>168</v>
      </c>
      <c r="L65" s="112" t="s">
        <v>169</v>
      </c>
      <c r="M65" s="78"/>
      <c r="N65" s="90" t="s">
        <v>170</v>
      </c>
      <c r="O65" s="90" t="s">
        <v>169</v>
      </c>
      <c r="P65" s="78"/>
      <c r="Q65" s="90"/>
      <c r="R65" s="90"/>
      <c r="S65" s="79"/>
      <c r="T65" s="90" t="s">
        <v>159</v>
      </c>
      <c r="U65" s="90" t="s">
        <v>165</v>
      </c>
      <c r="V65" s="78"/>
    </row>
    <row r="66" ht="13.5" customHeight="1">
      <c r="B66" s="103"/>
      <c r="C66" s="103"/>
      <c r="D66" s="90" t="s">
        <v>171</v>
      </c>
      <c r="E66" s="90" t="s">
        <v>167</v>
      </c>
      <c r="F66" s="78"/>
      <c r="G66" s="90"/>
      <c r="H66" s="79"/>
      <c r="I66" s="90"/>
      <c r="J66" s="79"/>
      <c r="K66" s="90" t="s">
        <v>172</v>
      </c>
      <c r="L66" s="112" t="s">
        <v>169</v>
      </c>
      <c r="M66" s="78"/>
      <c r="N66" s="90" t="s">
        <v>173</v>
      </c>
      <c r="O66" s="90" t="s">
        <v>169</v>
      </c>
      <c r="P66" s="78"/>
      <c r="Q66" s="90"/>
      <c r="R66" s="90"/>
      <c r="S66" s="79"/>
      <c r="T66" s="90" t="s">
        <v>174</v>
      </c>
      <c r="U66" s="90" t="s">
        <v>165</v>
      </c>
      <c r="V66" s="78"/>
    </row>
    <row r="67" ht="13.5" customHeight="1">
      <c r="B67" s="103"/>
      <c r="C67" s="103"/>
      <c r="D67" s="90" t="s">
        <v>175</v>
      </c>
      <c r="E67" s="90" t="s">
        <v>176</v>
      </c>
      <c r="F67" s="113" t="s">
        <v>115</v>
      </c>
      <c r="G67" s="90"/>
      <c r="H67" s="79"/>
      <c r="I67" s="90"/>
      <c r="J67" s="79"/>
      <c r="K67" s="90"/>
      <c r="L67" s="112"/>
      <c r="M67" s="79"/>
      <c r="N67" s="90" t="s">
        <v>177</v>
      </c>
      <c r="O67" s="90" t="s">
        <v>178</v>
      </c>
      <c r="P67" s="78"/>
      <c r="Q67" s="90"/>
      <c r="R67" s="90"/>
      <c r="S67" s="79"/>
      <c r="T67" s="90" t="s">
        <v>179</v>
      </c>
      <c r="U67" s="90" t="s">
        <v>165</v>
      </c>
      <c r="V67" s="78"/>
    </row>
    <row r="68" ht="13.5" customHeight="1">
      <c r="B68" s="103"/>
      <c r="C68" s="103"/>
      <c r="D68" s="90" t="s">
        <v>180</v>
      </c>
      <c r="E68" s="90" t="s">
        <v>176</v>
      </c>
      <c r="F68" s="78"/>
      <c r="G68" s="90"/>
      <c r="H68" s="79"/>
      <c r="I68" s="90"/>
      <c r="J68" s="79"/>
      <c r="K68" s="90"/>
      <c r="L68" s="112"/>
      <c r="M68" s="79"/>
      <c r="N68" s="90"/>
      <c r="O68" s="90"/>
      <c r="P68" s="79"/>
      <c r="Q68" s="90"/>
      <c r="R68" s="90"/>
      <c r="S68" s="79"/>
      <c r="T68" s="90" t="s">
        <v>181</v>
      </c>
      <c r="U68" s="90" t="s">
        <v>165</v>
      </c>
      <c r="V68" s="78"/>
    </row>
    <row r="69" ht="13.5" customHeight="1">
      <c r="B69" s="103"/>
      <c r="C69" s="103"/>
      <c r="D69" s="90"/>
      <c r="E69" s="90"/>
      <c r="F69" s="79"/>
      <c r="G69" s="90"/>
      <c r="H69" s="79"/>
      <c r="I69" s="90"/>
      <c r="J69" s="79"/>
      <c r="K69" s="90"/>
      <c r="L69" s="112"/>
      <c r="M69" s="79"/>
      <c r="N69" s="90"/>
      <c r="O69" s="90"/>
      <c r="P69" s="79"/>
      <c r="Q69" s="90"/>
      <c r="R69" s="90"/>
      <c r="S69" s="79"/>
      <c r="T69" s="90" t="s">
        <v>182</v>
      </c>
      <c r="U69" s="90" t="s">
        <v>165</v>
      </c>
      <c r="V69" s="78"/>
    </row>
    <row r="70" ht="13.5" customHeight="1">
      <c r="B70" s="103"/>
      <c r="C70" s="103"/>
      <c r="D70" s="90"/>
      <c r="E70" s="90"/>
      <c r="F70" s="79"/>
      <c r="G70" s="90"/>
      <c r="H70" s="79"/>
      <c r="I70" s="90"/>
      <c r="J70" s="79"/>
      <c r="K70" s="90"/>
      <c r="L70" s="112"/>
      <c r="M70" s="79"/>
      <c r="N70" s="90"/>
      <c r="O70" s="90"/>
      <c r="P70" s="79"/>
      <c r="Q70" s="90"/>
      <c r="R70" s="90"/>
      <c r="S70" s="79"/>
      <c r="T70" s="90" t="s">
        <v>183</v>
      </c>
      <c r="U70" s="90" t="s">
        <v>165</v>
      </c>
      <c r="V70" s="78"/>
    </row>
    <row r="71" ht="13.5" customHeight="1">
      <c r="B71" s="103"/>
      <c r="C71" s="103"/>
      <c r="D71" s="90"/>
      <c r="E71" s="90"/>
      <c r="F71" s="79"/>
      <c r="G71" s="90"/>
      <c r="H71" s="79"/>
      <c r="I71" s="90"/>
      <c r="J71" s="79"/>
      <c r="K71" s="90"/>
      <c r="L71" s="112"/>
      <c r="M71" s="79"/>
      <c r="N71" s="90"/>
      <c r="O71" s="90"/>
      <c r="P71" s="79"/>
      <c r="Q71" s="90"/>
      <c r="R71" s="90"/>
      <c r="S71" s="79"/>
      <c r="T71" s="90" t="s">
        <v>184</v>
      </c>
      <c r="U71" s="90" t="s">
        <v>165</v>
      </c>
      <c r="V71" s="78"/>
    </row>
    <row r="72" ht="13.5" customHeight="1">
      <c r="B72" s="103"/>
      <c r="C72" s="103"/>
      <c r="D72" s="90"/>
      <c r="E72" s="90"/>
      <c r="F72" s="79"/>
      <c r="G72" s="90"/>
      <c r="H72" s="79"/>
      <c r="I72" s="90"/>
      <c r="J72" s="79"/>
      <c r="K72" s="90"/>
      <c r="L72" s="112"/>
      <c r="M72" s="79"/>
      <c r="N72" s="90"/>
      <c r="O72" s="90"/>
      <c r="P72" s="79"/>
      <c r="Q72" s="90"/>
      <c r="R72" s="90"/>
      <c r="S72" s="79"/>
      <c r="T72" s="90" t="s">
        <v>185</v>
      </c>
      <c r="U72" s="90" t="s">
        <v>165</v>
      </c>
      <c r="V72" s="78"/>
    </row>
    <row r="73" ht="13.5" customHeight="1">
      <c r="B73" s="37"/>
      <c r="C73" s="37"/>
      <c r="D73" s="90"/>
      <c r="E73" s="90"/>
      <c r="F73" s="79"/>
      <c r="G73" s="90"/>
      <c r="H73" s="79"/>
      <c r="I73" s="90"/>
      <c r="J73" s="79"/>
      <c r="K73" s="90"/>
      <c r="L73" s="90"/>
      <c r="M73" s="79"/>
      <c r="N73" s="90"/>
      <c r="O73" s="90"/>
      <c r="P73" s="79"/>
      <c r="Q73" s="90"/>
      <c r="R73" s="90"/>
      <c r="S73" s="79"/>
      <c r="T73" s="90" t="s">
        <v>186</v>
      </c>
      <c r="U73" s="90" t="s">
        <v>165</v>
      </c>
      <c r="V73" s="78"/>
    </row>
    <row r="74" ht="14.25" customHeight="1">
      <c r="B74" s="69" t="s">
        <v>64</v>
      </c>
      <c r="C74" s="70" t="s">
        <v>65</v>
      </c>
      <c r="D74" s="118" t="s">
        <v>187</v>
      </c>
      <c r="E74" s="119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</row>
    <row r="75" ht="13.5" customHeight="1">
      <c r="B75" s="72"/>
      <c r="C75" s="37"/>
      <c r="D75" s="89" t="s">
        <v>66</v>
      </c>
      <c r="E75" s="89" t="s">
        <v>67</v>
      </c>
    </row>
    <row r="76" ht="13.5" customHeight="1">
      <c r="B76" s="120" t="s">
        <v>188</v>
      </c>
      <c r="C76" s="120" t="s">
        <v>189</v>
      </c>
      <c r="D76" s="112"/>
      <c r="E76" s="92"/>
    </row>
    <row r="77" ht="13.5" customHeight="1">
      <c r="B77" s="120" t="s">
        <v>190</v>
      </c>
      <c r="C77" s="120" t="s">
        <v>191</v>
      </c>
      <c r="D77" s="112"/>
      <c r="E77" s="92"/>
    </row>
    <row r="78" ht="13.5" customHeight="1">
      <c r="B78" s="120" t="s">
        <v>192</v>
      </c>
      <c r="C78" s="120" t="s">
        <v>193</v>
      </c>
      <c r="D78" s="112"/>
      <c r="E78" s="92"/>
    </row>
    <row r="79" ht="13.5" customHeight="1">
      <c r="B79" s="120" t="s">
        <v>194</v>
      </c>
      <c r="C79" s="120" t="s">
        <v>195</v>
      </c>
      <c r="D79" s="113" t="s">
        <v>196</v>
      </c>
      <c r="E79" s="91" t="s">
        <v>69</v>
      </c>
    </row>
    <row r="80" ht="13.5" customHeight="1">
      <c r="B80" s="120" t="s">
        <v>197</v>
      </c>
      <c r="C80" s="120" t="s">
        <v>198</v>
      </c>
      <c r="D80" s="112"/>
      <c r="E80" s="92"/>
    </row>
    <row r="81" ht="13.5" customHeight="1">
      <c r="A81" s="21"/>
      <c r="B81" s="120" t="s">
        <v>199</v>
      </c>
      <c r="C81" s="120" t="s">
        <v>200</v>
      </c>
      <c r="D81" s="112"/>
      <c r="E81" s="92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</row>
    <row r="82" ht="13.5" customHeight="1">
      <c r="A82" s="21"/>
      <c r="B82" s="120" t="s">
        <v>201</v>
      </c>
      <c r="C82" s="120" t="s">
        <v>202</v>
      </c>
      <c r="D82" s="112"/>
      <c r="E82" s="92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</row>
    <row r="83" ht="13.5" customHeight="1">
      <c r="A83" s="21"/>
      <c r="B83" s="120" t="s">
        <v>203</v>
      </c>
      <c r="C83" s="120" t="s">
        <v>204</v>
      </c>
      <c r="D83" s="113" t="s">
        <v>112</v>
      </c>
      <c r="E83" s="91" t="s">
        <v>69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</row>
    <row r="84" ht="13.5" customHeight="1">
      <c r="A84" s="21"/>
      <c r="B84" s="120" t="s">
        <v>205</v>
      </c>
      <c r="C84" s="120" t="s">
        <v>206</v>
      </c>
      <c r="D84" s="113" t="s">
        <v>112</v>
      </c>
      <c r="E84" s="91" t="s">
        <v>69</v>
      </c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</row>
    <row r="85" ht="13.5" customHeight="1">
      <c r="A85" s="21"/>
      <c r="B85" s="120" t="s">
        <v>207</v>
      </c>
      <c r="C85" s="120" t="s">
        <v>208</v>
      </c>
      <c r="D85" s="91" t="s">
        <v>89</v>
      </c>
      <c r="E85" s="76" t="s">
        <v>69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</row>
    <row r="86" ht="13.5" customHeight="1">
      <c r="A86" s="21"/>
      <c r="B86" s="120" t="s">
        <v>209</v>
      </c>
      <c r="C86" s="120" t="s">
        <v>210</v>
      </c>
      <c r="D86" s="91" t="s">
        <v>111</v>
      </c>
      <c r="E86" s="76" t="s">
        <v>69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</row>
    <row r="87" ht="13.5" customHeight="1">
      <c r="A87" s="21"/>
      <c r="B87" s="120" t="s">
        <v>211</v>
      </c>
      <c r="C87" s="120" t="s">
        <v>212</v>
      </c>
      <c r="D87" s="112"/>
      <c r="E87" s="92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</row>
    <row r="88" ht="20.25" customHeight="1">
      <c r="A88" s="21"/>
      <c r="B88" s="120" t="s">
        <v>213</v>
      </c>
      <c r="C88" s="120" t="s">
        <v>214</v>
      </c>
      <c r="D88" s="91" t="s">
        <v>109</v>
      </c>
      <c r="E88" s="76" t="s">
        <v>69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</row>
    <row r="89" ht="13.5" customHeight="1">
      <c r="A89" s="21"/>
      <c r="B89" s="121" t="s">
        <v>215</v>
      </c>
      <c r="C89" s="121" t="s">
        <v>216</v>
      </c>
      <c r="D89" s="118" t="s">
        <v>167</v>
      </c>
      <c r="E89" s="119"/>
      <c r="F89" s="118" t="s">
        <v>153</v>
      </c>
      <c r="G89" s="119"/>
      <c r="H89" s="122" t="s">
        <v>217</v>
      </c>
      <c r="I89" s="123"/>
      <c r="J89" s="124"/>
      <c r="K89" s="124"/>
      <c r="L89" s="125"/>
      <c r="M89" s="125"/>
      <c r="N89" s="125"/>
      <c r="O89" s="125"/>
      <c r="P89" s="125"/>
      <c r="Q89" s="125"/>
      <c r="R89" s="125"/>
      <c r="S89" s="125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</row>
    <row r="90" ht="13.5" customHeight="1">
      <c r="A90" s="21"/>
      <c r="B90" s="103"/>
      <c r="C90" s="103"/>
      <c r="D90" s="73" t="s">
        <v>66</v>
      </c>
      <c r="E90" s="73" t="s">
        <v>218</v>
      </c>
      <c r="F90" s="73" t="s">
        <v>66</v>
      </c>
      <c r="G90" s="126" t="s">
        <v>218</v>
      </c>
      <c r="H90" s="89" t="s">
        <v>66</v>
      </c>
      <c r="I90" s="89" t="s">
        <v>218</v>
      </c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</row>
    <row r="91" ht="21.0" customHeight="1">
      <c r="A91" s="21"/>
      <c r="B91" s="37"/>
      <c r="C91" s="37"/>
      <c r="D91" s="76" t="s">
        <v>69</v>
      </c>
      <c r="E91" s="91" t="s">
        <v>89</v>
      </c>
      <c r="F91" s="76" t="s">
        <v>69</v>
      </c>
      <c r="G91" s="91" t="s">
        <v>89</v>
      </c>
      <c r="H91" s="76" t="s">
        <v>69</v>
      </c>
      <c r="I91" s="91" t="s">
        <v>89</v>
      </c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</row>
    <row r="92" ht="13.5" customHeight="1">
      <c r="B92" s="121" t="s">
        <v>219</v>
      </c>
      <c r="C92" s="121" t="s">
        <v>220</v>
      </c>
      <c r="D92" s="88" t="s">
        <v>153</v>
      </c>
      <c r="E92" s="4"/>
      <c r="F92" s="88" t="s">
        <v>167</v>
      </c>
      <c r="G92" s="4"/>
      <c r="H92" s="118" t="s">
        <v>176</v>
      </c>
      <c r="I92" s="119"/>
      <c r="J92" s="118" t="s">
        <v>221</v>
      </c>
      <c r="K92" s="119"/>
      <c r="L92" s="21"/>
    </row>
    <row r="93" ht="13.5" customHeight="1">
      <c r="B93" s="103"/>
      <c r="C93" s="103"/>
      <c r="D93" s="89" t="s">
        <v>66</v>
      </c>
      <c r="E93" s="89" t="s">
        <v>218</v>
      </c>
      <c r="F93" s="89" t="s">
        <v>66</v>
      </c>
      <c r="G93" s="89" t="s">
        <v>218</v>
      </c>
      <c r="H93" s="89" t="s">
        <v>66</v>
      </c>
      <c r="I93" s="89" t="s">
        <v>218</v>
      </c>
      <c r="J93" s="89" t="s">
        <v>66</v>
      </c>
      <c r="K93" s="89" t="s">
        <v>218</v>
      </c>
      <c r="L93" s="21"/>
    </row>
    <row r="94" ht="13.5" customHeight="1">
      <c r="B94" s="37"/>
      <c r="C94" s="37"/>
      <c r="D94" s="76" t="s">
        <v>69</v>
      </c>
      <c r="E94" s="91" t="s">
        <v>89</v>
      </c>
      <c r="F94" s="76" t="s">
        <v>69</v>
      </c>
      <c r="G94" s="91" t="s">
        <v>89</v>
      </c>
      <c r="H94" s="76" t="s">
        <v>69</v>
      </c>
      <c r="I94" s="91" t="s">
        <v>89</v>
      </c>
      <c r="J94" s="76" t="s">
        <v>69</v>
      </c>
      <c r="K94" s="91" t="s">
        <v>89</v>
      </c>
      <c r="L94" s="21"/>
    </row>
    <row r="95" ht="36.0" customHeight="1">
      <c r="B95" s="68"/>
      <c r="K95" s="68"/>
      <c r="L95" s="68"/>
      <c r="M95" s="68"/>
      <c r="N95" s="68"/>
      <c r="O95" s="68"/>
      <c r="P95" s="68"/>
      <c r="Q95" s="68"/>
    </row>
    <row r="96" ht="13.5" customHeight="1">
      <c r="B96" s="127" t="s">
        <v>222</v>
      </c>
      <c r="C96" s="110" t="s">
        <v>223</v>
      </c>
      <c r="D96" s="107" t="s">
        <v>121</v>
      </c>
      <c r="E96" s="107" t="s">
        <v>103</v>
      </c>
      <c r="F96" s="107" t="s">
        <v>67</v>
      </c>
      <c r="G96" s="108" t="s">
        <v>121</v>
      </c>
      <c r="H96" s="107" t="s">
        <v>122</v>
      </c>
      <c r="I96" s="107" t="s">
        <v>103</v>
      </c>
      <c r="J96" s="107" t="s">
        <v>67</v>
      </c>
      <c r="K96" s="107" t="s">
        <v>121</v>
      </c>
      <c r="L96" s="107" t="s">
        <v>122</v>
      </c>
      <c r="M96" s="107" t="s">
        <v>103</v>
      </c>
      <c r="N96" s="107" t="s">
        <v>67</v>
      </c>
      <c r="O96" s="107" t="s">
        <v>121</v>
      </c>
      <c r="P96" s="107" t="s">
        <v>122</v>
      </c>
      <c r="Q96" s="107" t="s">
        <v>103</v>
      </c>
      <c r="R96" s="107" t="s">
        <v>67</v>
      </c>
    </row>
    <row r="97" ht="13.5" customHeight="1">
      <c r="B97" s="103"/>
      <c r="C97" s="103"/>
      <c r="D97" s="112">
        <v>1.0</v>
      </c>
      <c r="E97" s="90"/>
      <c r="F97" s="90"/>
      <c r="G97" s="112">
        <v>34.0</v>
      </c>
      <c r="I97" s="128">
        <v>46096.0</v>
      </c>
      <c r="J97" s="90"/>
      <c r="K97" s="112">
        <v>67.0</v>
      </c>
      <c r="L97" s="112"/>
      <c r="M97" s="112"/>
      <c r="N97" s="112"/>
      <c r="O97" s="112">
        <v>100.0</v>
      </c>
      <c r="P97" s="112" t="s">
        <v>69</v>
      </c>
      <c r="Q97" s="112" t="s">
        <v>224</v>
      </c>
      <c r="R97" s="112" t="s">
        <v>69</v>
      </c>
    </row>
    <row r="98" ht="13.5" customHeight="1">
      <c r="B98" s="103"/>
      <c r="C98" s="103"/>
      <c r="D98" s="112">
        <v>2.0</v>
      </c>
      <c r="E98" s="90"/>
      <c r="F98" s="90"/>
      <c r="G98" s="112">
        <v>35.0</v>
      </c>
      <c r="H98" s="90"/>
      <c r="I98" s="112"/>
      <c r="J98" s="112"/>
      <c r="K98" s="112">
        <v>68.0</v>
      </c>
      <c r="L98" s="112" t="s">
        <v>69</v>
      </c>
      <c r="M98" s="113" t="s">
        <v>106</v>
      </c>
      <c r="N98" s="112" t="s">
        <v>69</v>
      </c>
      <c r="O98" s="112">
        <v>101.0</v>
      </c>
      <c r="P98" s="112" t="s">
        <v>69</v>
      </c>
      <c r="Q98" s="113" t="s">
        <v>225</v>
      </c>
      <c r="R98" s="112" t="s">
        <v>69</v>
      </c>
    </row>
    <row r="99" ht="13.5" customHeight="1">
      <c r="B99" s="103"/>
      <c r="C99" s="103"/>
      <c r="D99" s="112">
        <v>3.0</v>
      </c>
      <c r="E99" s="90"/>
      <c r="F99" s="90"/>
      <c r="G99" s="112">
        <v>36.0</v>
      </c>
      <c r="H99" s="90"/>
      <c r="I99" s="112"/>
      <c r="J99" s="112"/>
      <c r="K99" s="112">
        <v>69.0</v>
      </c>
      <c r="L99" s="112"/>
      <c r="M99" s="112"/>
      <c r="N99" s="112"/>
      <c r="O99" s="112">
        <v>102.0</v>
      </c>
      <c r="P99" s="112" t="s">
        <v>69</v>
      </c>
      <c r="Q99" s="113" t="s">
        <v>226</v>
      </c>
      <c r="R99" s="112" t="s">
        <v>69</v>
      </c>
    </row>
    <row r="100" ht="13.5" customHeight="1">
      <c r="B100" s="103"/>
      <c r="C100" s="103"/>
      <c r="D100" s="112">
        <v>4.0</v>
      </c>
      <c r="E100" s="90"/>
      <c r="F100" s="90"/>
      <c r="G100" s="112">
        <v>37.0</v>
      </c>
      <c r="H100" s="90"/>
      <c r="I100" s="112"/>
      <c r="J100" s="112"/>
      <c r="K100" s="112">
        <v>70.0</v>
      </c>
      <c r="L100" s="112" t="s">
        <v>69</v>
      </c>
      <c r="M100" s="112" t="s">
        <v>227</v>
      </c>
      <c r="N100" s="112" t="s">
        <v>69</v>
      </c>
      <c r="O100" s="112">
        <v>103.0</v>
      </c>
      <c r="P100" s="112" t="s">
        <v>69</v>
      </c>
      <c r="Q100" s="113" t="s">
        <v>228</v>
      </c>
      <c r="R100" s="112" t="s">
        <v>69</v>
      </c>
    </row>
    <row r="101" ht="13.5" customHeight="1">
      <c r="B101" s="103"/>
      <c r="C101" s="103"/>
      <c r="D101" s="112">
        <v>5.0</v>
      </c>
      <c r="E101" s="91" t="s">
        <v>108</v>
      </c>
      <c r="F101" s="112" t="s">
        <v>69</v>
      </c>
      <c r="G101" s="112">
        <v>38.0</v>
      </c>
      <c r="H101" s="112" t="s">
        <v>69</v>
      </c>
      <c r="I101" s="112" t="s">
        <v>229</v>
      </c>
      <c r="J101" s="112" t="s">
        <v>69</v>
      </c>
      <c r="K101" s="112">
        <v>71.0</v>
      </c>
      <c r="L101" s="112" t="s">
        <v>69</v>
      </c>
      <c r="M101" s="113" t="s">
        <v>230</v>
      </c>
      <c r="N101" s="112" t="s">
        <v>69</v>
      </c>
      <c r="O101" s="112">
        <v>104.0</v>
      </c>
      <c r="P101" s="112"/>
      <c r="Q101" s="112"/>
      <c r="R101" s="112"/>
    </row>
    <row r="102" ht="13.5" customHeight="1">
      <c r="B102" s="103"/>
      <c r="C102" s="103"/>
      <c r="D102" s="112">
        <v>6.0</v>
      </c>
      <c r="E102" s="90"/>
      <c r="F102" s="90"/>
      <c r="G102" s="112">
        <v>39.0</v>
      </c>
      <c r="H102" s="90"/>
      <c r="I102" s="112"/>
      <c r="J102" s="112"/>
      <c r="K102" s="112">
        <v>72.0</v>
      </c>
      <c r="L102" s="112" t="s">
        <v>69</v>
      </c>
      <c r="M102" s="112" t="s">
        <v>231</v>
      </c>
      <c r="N102" s="112" t="s">
        <v>69</v>
      </c>
      <c r="O102" s="112">
        <v>105.0</v>
      </c>
      <c r="P102" s="112" t="s">
        <v>69</v>
      </c>
      <c r="Q102" s="112" t="s">
        <v>232</v>
      </c>
      <c r="R102" s="112" t="s">
        <v>69</v>
      </c>
    </row>
    <row r="103" ht="13.5" customHeight="1">
      <c r="B103" s="103"/>
      <c r="C103" s="103"/>
      <c r="D103" s="112">
        <v>7.0</v>
      </c>
      <c r="E103" s="91" t="s">
        <v>90</v>
      </c>
      <c r="F103" s="91" t="s">
        <v>69</v>
      </c>
      <c r="G103" s="112">
        <v>40.0</v>
      </c>
      <c r="H103" s="90"/>
      <c r="I103" s="112"/>
      <c r="J103" s="112"/>
      <c r="K103" s="112">
        <v>73.0</v>
      </c>
      <c r="L103" s="112"/>
      <c r="M103" s="112"/>
      <c r="N103" s="112"/>
      <c r="O103" s="112">
        <v>106.0</v>
      </c>
      <c r="P103" s="112" t="s">
        <v>69</v>
      </c>
      <c r="Q103" s="113" t="s">
        <v>107</v>
      </c>
      <c r="R103" s="112" t="s">
        <v>69</v>
      </c>
    </row>
    <row r="104" ht="13.5" customHeight="1">
      <c r="B104" s="103"/>
      <c r="C104" s="103"/>
      <c r="D104" s="112">
        <v>8.0</v>
      </c>
      <c r="E104" s="90"/>
      <c r="F104" s="90"/>
      <c r="G104" s="112">
        <v>41.0</v>
      </c>
      <c r="H104" s="90"/>
      <c r="I104" s="112"/>
      <c r="J104" s="112"/>
      <c r="K104" s="112">
        <v>74.0</v>
      </c>
      <c r="L104" s="112" t="s">
        <v>69</v>
      </c>
      <c r="M104" s="113" t="s">
        <v>233</v>
      </c>
      <c r="N104" s="112" t="s">
        <v>69</v>
      </c>
      <c r="O104" s="112">
        <v>107.0</v>
      </c>
      <c r="P104" s="112"/>
      <c r="Q104" s="112"/>
      <c r="R104" s="112"/>
    </row>
    <row r="105" ht="13.5" customHeight="1">
      <c r="B105" s="103"/>
      <c r="C105" s="103"/>
      <c r="D105" s="112">
        <v>9.0</v>
      </c>
      <c r="E105" s="90"/>
      <c r="F105" s="90"/>
      <c r="G105" s="112">
        <v>42.0</v>
      </c>
      <c r="H105" s="90"/>
      <c r="I105" s="112"/>
      <c r="J105" s="112"/>
      <c r="K105" s="112">
        <v>75.0</v>
      </c>
      <c r="L105" s="112" t="s">
        <v>69</v>
      </c>
      <c r="M105" s="112" t="s">
        <v>234</v>
      </c>
      <c r="N105" s="112" t="s">
        <v>69</v>
      </c>
      <c r="O105" s="112">
        <v>108.0</v>
      </c>
      <c r="P105" s="112"/>
      <c r="Q105" s="112"/>
      <c r="R105" s="112"/>
    </row>
    <row r="106" ht="13.5" customHeight="1">
      <c r="B106" s="103"/>
      <c r="C106" s="103"/>
      <c r="D106" s="112">
        <v>10.0</v>
      </c>
      <c r="E106" s="90"/>
      <c r="F106" s="90"/>
      <c r="G106" s="112">
        <v>43.0</v>
      </c>
      <c r="H106" s="90"/>
      <c r="I106" s="112"/>
      <c r="J106" s="112"/>
      <c r="K106" s="112">
        <v>76.0</v>
      </c>
      <c r="L106" s="112" t="s">
        <v>69</v>
      </c>
      <c r="M106" s="112" t="s">
        <v>235</v>
      </c>
      <c r="N106" s="112" t="s">
        <v>69</v>
      </c>
      <c r="O106" s="112">
        <v>109.0</v>
      </c>
      <c r="P106" s="112"/>
      <c r="Q106" s="112"/>
      <c r="R106" s="112"/>
    </row>
    <row r="107" ht="13.5" customHeight="1">
      <c r="B107" s="103"/>
      <c r="C107" s="103"/>
      <c r="D107" s="112">
        <v>11.0</v>
      </c>
      <c r="E107" s="90"/>
      <c r="F107" s="90"/>
      <c r="G107" s="112">
        <v>44.0</v>
      </c>
      <c r="H107" s="112" t="s">
        <v>69</v>
      </c>
      <c r="I107" s="112" t="s">
        <v>236</v>
      </c>
      <c r="J107" s="112" t="s">
        <v>69</v>
      </c>
      <c r="K107" s="112">
        <v>77.0</v>
      </c>
      <c r="L107" s="112"/>
      <c r="M107" s="112"/>
      <c r="N107" s="112"/>
      <c r="O107" s="112">
        <v>110.0</v>
      </c>
      <c r="P107" s="112" t="s">
        <v>69</v>
      </c>
      <c r="Q107" s="112" t="s">
        <v>237</v>
      </c>
      <c r="R107" s="112" t="s">
        <v>69</v>
      </c>
    </row>
    <row r="108" ht="13.5" customHeight="1">
      <c r="B108" s="103"/>
      <c r="C108" s="103"/>
      <c r="D108" s="112">
        <v>12.0</v>
      </c>
      <c r="E108" s="90"/>
      <c r="F108" s="90"/>
      <c r="G108" s="112">
        <v>45.0</v>
      </c>
      <c r="H108" s="90"/>
      <c r="I108" s="112"/>
      <c r="J108" s="112"/>
      <c r="K108" s="112">
        <v>78.0</v>
      </c>
      <c r="L108" s="112"/>
      <c r="M108" s="112"/>
      <c r="N108" s="112"/>
      <c r="O108" s="112">
        <v>111.0</v>
      </c>
      <c r="P108" s="112"/>
      <c r="Q108" s="112"/>
      <c r="R108" s="112"/>
    </row>
    <row r="109" ht="13.5" customHeight="1">
      <c r="B109" s="103"/>
      <c r="C109" s="103"/>
      <c r="D109" s="112">
        <v>13.0</v>
      </c>
      <c r="E109" s="90"/>
      <c r="F109" s="90"/>
      <c r="G109" s="112">
        <v>46.0</v>
      </c>
      <c r="H109" s="112" t="s">
        <v>69</v>
      </c>
      <c r="I109" s="112" t="s">
        <v>238</v>
      </c>
      <c r="J109" s="112" t="s">
        <v>69</v>
      </c>
      <c r="K109" s="112">
        <v>79.0</v>
      </c>
      <c r="L109" s="112"/>
      <c r="M109" s="112"/>
      <c r="N109" s="112"/>
      <c r="O109" s="112">
        <v>112.0</v>
      </c>
      <c r="P109" s="112" t="s">
        <v>69</v>
      </c>
      <c r="Q109" s="113" t="s">
        <v>239</v>
      </c>
      <c r="R109" s="112" t="s">
        <v>69</v>
      </c>
    </row>
    <row r="110" ht="13.5" customHeight="1">
      <c r="B110" s="103"/>
      <c r="C110" s="103"/>
      <c r="D110" s="112">
        <v>14.0</v>
      </c>
      <c r="E110" s="90"/>
      <c r="F110" s="90"/>
      <c r="G110" s="112">
        <v>47.0</v>
      </c>
      <c r="H110" s="112" t="s">
        <v>69</v>
      </c>
      <c r="I110" s="112" t="s">
        <v>240</v>
      </c>
      <c r="J110" s="112" t="s">
        <v>69</v>
      </c>
      <c r="K110" s="112">
        <v>80.0</v>
      </c>
      <c r="L110" s="112"/>
      <c r="M110" s="112"/>
      <c r="N110" s="112"/>
      <c r="O110" s="112">
        <v>113.0</v>
      </c>
      <c r="P110" s="112"/>
      <c r="Q110" s="112"/>
      <c r="R110" s="112"/>
    </row>
    <row r="111" ht="13.5" customHeight="1">
      <c r="B111" s="103"/>
      <c r="C111" s="103"/>
      <c r="D111" s="112">
        <v>15.0</v>
      </c>
      <c r="E111" s="90"/>
      <c r="F111" s="90"/>
      <c r="G111" s="112">
        <v>48.0</v>
      </c>
      <c r="H111" s="90"/>
      <c r="I111" s="112"/>
      <c r="J111" s="112"/>
      <c r="K111" s="112">
        <v>81.0</v>
      </c>
      <c r="L111" s="112"/>
      <c r="M111" s="112"/>
      <c r="N111" s="112"/>
      <c r="O111" s="112">
        <v>114.0</v>
      </c>
      <c r="P111" s="112" t="s">
        <v>69</v>
      </c>
      <c r="Q111" s="112" t="s">
        <v>241</v>
      </c>
      <c r="R111" s="112" t="s">
        <v>69</v>
      </c>
    </row>
    <row r="112" ht="13.5" customHeight="1">
      <c r="B112" s="103"/>
      <c r="C112" s="103"/>
      <c r="D112" s="112">
        <v>16.0</v>
      </c>
      <c r="E112" s="90"/>
      <c r="F112" s="90"/>
      <c r="G112" s="112">
        <v>49.0</v>
      </c>
      <c r="H112" s="90"/>
      <c r="I112" s="112"/>
      <c r="J112" s="112"/>
      <c r="K112" s="112">
        <v>82.0</v>
      </c>
      <c r="L112" s="112" t="s">
        <v>69</v>
      </c>
      <c r="M112" s="112" t="s">
        <v>242</v>
      </c>
      <c r="N112" s="112" t="s">
        <v>69</v>
      </c>
      <c r="O112" s="112">
        <v>115.0</v>
      </c>
      <c r="P112" s="112"/>
      <c r="Q112" s="112"/>
      <c r="R112" s="112"/>
    </row>
    <row r="113" ht="13.5" customHeight="1">
      <c r="B113" s="103"/>
      <c r="C113" s="103"/>
      <c r="D113" s="112">
        <v>17.0</v>
      </c>
      <c r="E113" s="90"/>
      <c r="F113" s="90"/>
      <c r="G113" s="112">
        <v>50.0</v>
      </c>
      <c r="H113" s="90"/>
      <c r="I113" s="112"/>
      <c r="J113" s="112"/>
      <c r="K113" s="112">
        <v>83.0</v>
      </c>
      <c r="L113" s="112"/>
      <c r="M113" s="112"/>
      <c r="N113" s="112"/>
      <c r="O113" s="112">
        <v>116.0</v>
      </c>
      <c r="P113" s="112" t="s">
        <v>69</v>
      </c>
      <c r="Q113" s="113" t="s">
        <v>243</v>
      </c>
      <c r="R113" s="112" t="s">
        <v>69</v>
      </c>
    </row>
    <row r="114" ht="13.5" customHeight="1">
      <c r="B114" s="103"/>
      <c r="C114" s="103"/>
      <c r="D114" s="112">
        <v>18.0</v>
      </c>
      <c r="E114" s="91" t="s">
        <v>111</v>
      </c>
      <c r="F114" s="91" t="s">
        <v>69</v>
      </c>
      <c r="G114" s="112">
        <v>51.0</v>
      </c>
      <c r="H114" s="112" t="s">
        <v>69</v>
      </c>
      <c r="I114" s="112" t="s">
        <v>244</v>
      </c>
      <c r="J114" s="112" t="s">
        <v>69</v>
      </c>
      <c r="K114" s="112">
        <v>84.0</v>
      </c>
      <c r="L114" s="112" t="s">
        <v>69</v>
      </c>
      <c r="M114" s="112" t="s">
        <v>245</v>
      </c>
      <c r="N114" s="112" t="s">
        <v>69</v>
      </c>
      <c r="O114" s="112">
        <v>117.0</v>
      </c>
      <c r="P114" s="112" t="s">
        <v>69</v>
      </c>
      <c r="Q114" s="113" t="s">
        <v>246</v>
      </c>
      <c r="R114" s="112" t="s">
        <v>69</v>
      </c>
    </row>
    <row r="115" ht="13.5" customHeight="1">
      <c r="B115" s="103"/>
      <c r="C115" s="103"/>
      <c r="D115" s="112">
        <v>19.0</v>
      </c>
      <c r="E115" s="90"/>
      <c r="F115" s="90"/>
      <c r="G115" s="112">
        <v>52.0</v>
      </c>
      <c r="H115" s="90"/>
      <c r="I115" s="112"/>
      <c r="J115" s="112"/>
      <c r="K115" s="112">
        <v>85.0</v>
      </c>
      <c r="L115" s="112"/>
      <c r="M115" s="112"/>
      <c r="N115" s="112"/>
      <c r="O115" s="112">
        <v>118.0</v>
      </c>
      <c r="P115" s="112"/>
      <c r="Q115" s="112"/>
      <c r="R115" s="112"/>
    </row>
    <row r="116" ht="13.5" customHeight="1">
      <c r="B116" s="103"/>
      <c r="C116" s="103"/>
      <c r="D116" s="112">
        <v>20.0</v>
      </c>
      <c r="E116" s="90"/>
      <c r="F116" s="90"/>
      <c r="G116" s="112">
        <v>53.0</v>
      </c>
      <c r="H116" s="90"/>
      <c r="I116" s="112"/>
      <c r="J116" s="112"/>
      <c r="K116" s="112">
        <v>86.0</v>
      </c>
      <c r="L116" s="112" t="s">
        <v>69</v>
      </c>
      <c r="M116" s="113" t="s">
        <v>247</v>
      </c>
      <c r="N116" s="112" t="s">
        <v>69</v>
      </c>
      <c r="O116" s="112">
        <v>119.0</v>
      </c>
      <c r="P116" s="112"/>
      <c r="Q116" s="112"/>
      <c r="R116" s="112"/>
    </row>
    <row r="117" ht="13.5" customHeight="1">
      <c r="B117" s="103"/>
      <c r="C117" s="103"/>
      <c r="D117" s="112">
        <v>21.0</v>
      </c>
      <c r="E117" s="90"/>
      <c r="F117" s="90"/>
      <c r="G117" s="112">
        <v>54.0</v>
      </c>
      <c r="H117" s="112" t="s">
        <v>69</v>
      </c>
      <c r="I117" s="113" t="s">
        <v>248</v>
      </c>
      <c r="J117" s="112" t="s">
        <v>69</v>
      </c>
      <c r="K117" s="112">
        <v>87.0</v>
      </c>
      <c r="L117" s="112" t="s">
        <v>69</v>
      </c>
      <c r="M117" s="113" t="s">
        <v>249</v>
      </c>
      <c r="N117" s="112" t="s">
        <v>69</v>
      </c>
      <c r="O117" s="112">
        <v>120.0</v>
      </c>
      <c r="P117" s="112" t="s">
        <v>69</v>
      </c>
      <c r="Q117" s="112" t="s">
        <v>250</v>
      </c>
      <c r="R117" s="112" t="s">
        <v>69</v>
      </c>
    </row>
    <row r="118" ht="13.5" customHeight="1">
      <c r="B118" s="103"/>
      <c r="C118" s="103"/>
      <c r="D118" s="112">
        <v>22.0</v>
      </c>
      <c r="E118" s="90"/>
      <c r="F118" s="90"/>
      <c r="G118" s="112">
        <v>55.0</v>
      </c>
      <c r="H118" s="112" t="s">
        <v>69</v>
      </c>
      <c r="I118" s="113" t="s">
        <v>113</v>
      </c>
      <c r="J118" s="112"/>
      <c r="K118" s="112">
        <v>88.0</v>
      </c>
      <c r="L118" s="112" t="s">
        <v>69</v>
      </c>
      <c r="M118" s="112" t="s">
        <v>251</v>
      </c>
      <c r="N118" s="112" t="s">
        <v>69</v>
      </c>
      <c r="O118" s="112">
        <v>121.0</v>
      </c>
      <c r="P118" s="112"/>
      <c r="Q118" s="112"/>
      <c r="R118" s="112"/>
    </row>
    <row r="119" ht="13.5" customHeight="1">
      <c r="B119" s="103"/>
      <c r="C119" s="103"/>
      <c r="D119" s="112">
        <v>23.0</v>
      </c>
      <c r="E119" s="91" t="s">
        <v>109</v>
      </c>
      <c r="F119" s="112" t="s">
        <v>69</v>
      </c>
      <c r="G119" s="112">
        <v>56.0</v>
      </c>
      <c r="H119" s="112" t="s">
        <v>69</v>
      </c>
      <c r="I119" s="112" t="s">
        <v>252</v>
      </c>
      <c r="J119" s="112" t="s">
        <v>69</v>
      </c>
      <c r="K119" s="112">
        <v>89.0</v>
      </c>
      <c r="L119" s="112" t="s">
        <v>69</v>
      </c>
      <c r="M119" s="113" t="s">
        <v>253</v>
      </c>
      <c r="N119" s="112" t="s">
        <v>69</v>
      </c>
      <c r="O119" s="112">
        <v>122.0</v>
      </c>
      <c r="P119" s="112"/>
      <c r="Q119" s="112"/>
      <c r="R119" s="112"/>
    </row>
    <row r="120" ht="13.5" customHeight="1">
      <c r="B120" s="103"/>
      <c r="C120" s="103"/>
      <c r="D120" s="112">
        <v>24.0</v>
      </c>
      <c r="E120" s="90"/>
      <c r="F120" s="90"/>
      <c r="G120" s="112">
        <v>57.0</v>
      </c>
      <c r="H120" s="90"/>
      <c r="I120" s="112"/>
      <c r="J120" s="112"/>
      <c r="K120" s="112">
        <v>90.0</v>
      </c>
      <c r="L120" s="112"/>
      <c r="M120" s="112"/>
      <c r="N120" s="112"/>
      <c r="O120" s="112">
        <v>123.0</v>
      </c>
      <c r="P120" s="112"/>
      <c r="Q120" s="112"/>
      <c r="R120" s="112"/>
    </row>
    <row r="121" ht="13.5" customHeight="1">
      <c r="B121" s="103"/>
      <c r="C121" s="103"/>
      <c r="D121" s="112">
        <v>25.0</v>
      </c>
      <c r="E121" s="91" t="s">
        <v>112</v>
      </c>
      <c r="F121" s="91" t="s">
        <v>69</v>
      </c>
      <c r="G121" s="112">
        <v>58.0</v>
      </c>
      <c r="H121" s="112" t="s">
        <v>254</v>
      </c>
      <c r="I121" s="113" t="s">
        <v>255</v>
      </c>
      <c r="J121" s="112"/>
      <c r="K121" s="112">
        <v>91.0</v>
      </c>
      <c r="L121" s="112"/>
      <c r="M121" s="112"/>
      <c r="N121" s="112"/>
      <c r="O121" s="112">
        <v>124.0</v>
      </c>
      <c r="P121" s="112"/>
      <c r="Q121" s="112"/>
      <c r="R121" s="112"/>
    </row>
    <row r="122" ht="13.5" customHeight="1">
      <c r="B122" s="103"/>
      <c r="C122" s="103"/>
      <c r="D122" s="112">
        <v>26.0</v>
      </c>
      <c r="E122" s="90"/>
      <c r="F122" s="90"/>
      <c r="G122" s="112">
        <v>59.0</v>
      </c>
      <c r="H122" s="112" t="s">
        <v>69</v>
      </c>
      <c r="I122" s="112" t="s">
        <v>256</v>
      </c>
      <c r="J122" s="112" t="s">
        <v>69</v>
      </c>
      <c r="K122" s="112">
        <v>92.0</v>
      </c>
      <c r="L122" s="112"/>
      <c r="M122" s="112"/>
      <c r="N122" s="112"/>
      <c r="O122" s="112">
        <v>125.0</v>
      </c>
      <c r="P122" s="112" t="s">
        <v>69</v>
      </c>
      <c r="Q122" s="112" t="s">
        <v>257</v>
      </c>
      <c r="R122" s="112" t="s">
        <v>69</v>
      </c>
    </row>
    <row r="123" ht="13.5" customHeight="1">
      <c r="B123" s="103"/>
      <c r="C123" s="103"/>
      <c r="D123" s="112">
        <v>27.0</v>
      </c>
      <c r="E123" s="90"/>
      <c r="F123" s="90"/>
      <c r="G123" s="112">
        <v>60.0</v>
      </c>
      <c r="H123" s="90"/>
      <c r="I123" s="112"/>
      <c r="J123" s="112"/>
      <c r="K123" s="112">
        <v>93.0</v>
      </c>
      <c r="L123" s="112" t="s">
        <v>69</v>
      </c>
      <c r="M123" s="112" t="s">
        <v>258</v>
      </c>
      <c r="N123" s="112" t="s">
        <v>69</v>
      </c>
      <c r="O123" s="112">
        <v>126.0</v>
      </c>
      <c r="P123" s="112" t="s">
        <v>69</v>
      </c>
      <c r="Q123" s="113" t="s">
        <v>89</v>
      </c>
      <c r="R123" s="112" t="s">
        <v>69</v>
      </c>
    </row>
    <row r="124" ht="13.5" customHeight="1">
      <c r="B124" s="103"/>
      <c r="C124" s="103"/>
      <c r="D124" s="112">
        <v>28.0</v>
      </c>
      <c r="E124" s="90"/>
      <c r="F124" s="90"/>
      <c r="G124" s="112">
        <v>61.0</v>
      </c>
      <c r="H124" s="90"/>
      <c r="I124" s="112"/>
      <c r="J124" s="112"/>
      <c r="K124" s="112">
        <v>94.0</v>
      </c>
      <c r="L124" s="112"/>
      <c r="M124" s="112"/>
      <c r="N124" s="112"/>
      <c r="O124" s="112">
        <v>127.0</v>
      </c>
      <c r="P124" s="112" t="s">
        <v>69</v>
      </c>
      <c r="Q124" s="113" t="s">
        <v>259</v>
      </c>
      <c r="R124" s="112" t="s">
        <v>69</v>
      </c>
    </row>
    <row r="125" ht="13.5" customHeight="1">
      <c r="B125" s="103"/>
      <c r="C125" s="103"/>
      <c r="D125" s="112">
        <v>29.0</v>
      </c>
      <c r="E125" s="90"/>
      <c r="F125" s="90"/>
      <c r="G125" s="112">
        <v>62.0</v>
      </c>
      <c r="H125" s="112" t="s">
        <v>69</v>
      </c>
      <c r="I125" s="112" t="s">
        <v>260</v>
      </c>
      <c r="J125" s="112" t="s">
        <v>69</v>
      </c>
      <c r="K125" s="112">
        <v>95.0</v>
      </c>
      <c r="L125" s="112"/>
      <c r="M125" s="112"/>
      <c r="N125" s="112"/>
      <c r="O125" s="112">
        <v>128.0</v>
      </c>
      <c r="P125" s="112"/>
      <c r="Q125" s="112"/>
      <c r="R125" s="112"/>
    </row>
    <row r="126" ht="13.5" customHeight="1">
      <c r="B126" s="103"/>
      <c r="C126" s="103"/>
      <c r="D126" s="112">
        <v>30.0</v>
      </c>
      <c r="E126" s="91" t="s">
        <v>110</v>
      </c>
      <c r="F126" s="91" t="s">
        <v>69</v>
      </c>
      <c r="G126" s="112">
        <v>63.0</v>
      </c>
      <c r="H126" s="90"/>
      <c r="I126" s="112"/>
      <c r="J126" s="112"/>
      <c r="K126" s="112">
        <v>96.0</v>
      </c>
      <c r="L126" s="112" t="s">
        <v>69</v>
      </c>
      <c r="M126" s="112" t="s">
        <v>261</v>
      </c>
      <c r="N126" s="112" t="s">
        <v>69</v>
      </c>
      <c r="O126" s="112">
        <v>129.0</v>
      </c>
      <c r="P126" s="112" t="s">
        <v>69</v>
      </c>
      <c r="Q126" s="112" t="s">
        <v>262</v>
      </c>
      <c r="R126" s="112" t="s">
        <v>69</v>
      </c>
    </row>
    <row r="127" ht="13.5" customHeight="1">
      <c r="B127" s="103"/>
      <c r="C127" s="103"/>
      <c r="D127" s="112">
        <v>31.0</v>
      </c>
      <c r="E127" s="91" t="s">
        <v>263</v>
      </c>
      <c r="F127" s="112" t="s">
        <v>69</v>
      </c>
      <c r="G127" s="112">
        <v>64.0</v>
      </c>
      <c r="H127" s="112" t="s">
        <v>69</v>
      </c>
      <c r="I127" s="112" t="s">
        <v>264</v>
      </c>
      <c r="J127" s="112" t="s">
        <v>69</v>
      </c>
      <c r="K127" s="112">
        <v>97.0</v>
      </c>
      <c r="L127" s="112"/>
      <c r="M127" s="112"/>
      <c r="N127" s="112"/>
      <c r="O127" s="112">
        <v>130.0</v>
      </c>
      <c r="P127" s="112" t="s">
        <v>69</v>
      </c>
      <c r="Q127" s="113" t="s">
        <v>265</v>
      </c>
      <c r="R127" s="112" t="s">
        <v>69</v>
      </c>
    </row>
    <row r="128" ht="13.5" customHeight="1">
      <c r="B128" s="103"/>
      <c r="C128" s="103"/>
      <c r="D128" s="112">
        <v>32.0</v>
      </c>
      <c r="E128" s="91" t="s">
        <v>115</v>
      </c>
      <c r="F128" s="112" t="s">
        <v>69</v>
      </c>
      <c r="G128" s="112">
        <v>65.0</v>
      </c>
      <c r="H128" s="112" t="s">
        <v>69</v>
      </c>
      <c r="I128" s="112" t="s">
        <v>266</v>
      </c>
      <c r="J128" s="112" t="s">
        <v>69</v>
      </c>
      <c r="K128" s="112">
        <v>98.0</v>
      </c>
      <c r="L128" s="112"/>
      <c r="M128" s="112"/>
      <c r="N128" s="112"/>
      <c r="O128" s="112">
        <v>131.0</v>
      </c>
      <c r="P128" s="112" t="s">
        <v>69</v>
      </c>
      <c r="Q128" s="113" t="s">
        <v>267</v>
      </c>
      <c r="R128" s="112" t="s">
        <v>69</v>
      </c>
    </row>
    <row r="129" ht="13.5" customHeight="1">
      <c r="B129" s="103"/>
      <c r="C129" s="37"/>
      <c r="D129" s="112">
        <v>33.0</v>
      </c>
      <c r="E129" s="91" t="s">
        <v>196</v>
      </c>
      <c r="F129" s="91" t="s">
        <v>69</v>
      </c>
      <c r="G129" s="112">
        <v>66.0</v>
      </c>
      <c r="H129" s="112" t="s">
        <v>69</v>
      </c>
      <c r="I129" s="113" t="s">
        <v>268</v>
      </c>
      <c r="J129" s="112" t="s">
        <v>69</v>
      </c>
      <c r="K129" s="112">
        <v>99.0</v>
      </c>
      <c r="L129" s="112" t="s">
        <v>69</v>
      </c>
      <c r="M129" s="113" t="s">
        <v>269</v>
      </c>
      <c r="N129" s="112" t="s">
        <v>69</v>
      </c>
      <c r="O129" s="112">
        <v>132.0</v>
      </c>
      <c r="P129" s="112" t="s">
        <v>69</v>
      </c>
      <c r="Q129" s="113" t="s">
        <v>270</v>
      </c>
      <c r="R129" s="112" t="s">
        <v>69</v>
      </c>
    </row>
    <row r="130" ht="13.5" customHeight="1">
      <c r="B130" s="21"/>
    </row>
    <row r="131" ht="13.5" customHeight="1">
      <c r="B131" s="127" t="s">
        <v>271</v>
      </c>
      <c r="C131" s="110" t="s">
        <v>272</v>
      </c>
      <c r="D131" s="129">
        <v>46082.0</v>
      </c>
      <c r="E131" s="4"/>
      <c r="F131" s="129">
        <v>46083.0</v>
      </c>
      <c r="G131" s="4"/>
      <c r="H131" s="129">
        <v>46084.0</v>
      </c>
      <c r="I131" s="4"/>
      <c r="J131" s="129">
        <v>46085.0</v>
      </c>
      <c r="K131" s="4"/>
      <c r="L131" s="129">
        <v>46086.0</v>
      </c>
      <c r="M131" s="4"/>
      <c r="N131" s="129">
        <v>46087.0</v>
      </c>
      <c r="O131" s="4"/>
      <c r="P131" s="129">
        <v>46088.0</v>
      </c>
      <c r="Q131" s="4"/>
      <c r="R131" s="129">
        <v>46089.0</v>
      </c>
      <c r="S131" s="4"/>
      <c r="T131" s="129">
        <v>46090.0</v>
      </c>
      <c r="U131" s="4"/>
      <c r="V131" s="129">
        <v>46091.0</v>
      </c>
      <c r="W131" s="4"/>
      <c r="X131" s="129">
        <v>46092.0</v>
      </c>
      <c r="Y131" s="4"/>
      <c r="Z131" s="129">
        <v>46093.0</v>
      </c>
      <c r="AA131" s="4"/>
      <c r="AB131" s="129">
        <v>46094.0</v>
      </c>
      <c r="AC131" s="4"/>
      <c r="AD131" s="129">
        <v>46095.0</v>
      </c>
      <c r="AE131" s="4"/>
      <c r="AF131" s="129">
        <v>46096.0</v>
      </c>
      <c r="AG131" s="4"/>
      <c r="AH131" s="129">
        <v>46097.0</v>
      </c>
      <c r="AI131" s="4"/>
      <c r="AJ131" s="129">
        <v>46098.0</v>
      </c>
      <c r="AK131" s="4"/>
      <c r="AL131" s="129">
        <v>46099.0</v>
      </c>
      <c r="AM131" s="4"/>
      <c r="AN131" s="129">
        <v>46100.0</v>
      </c>
      <c r="AO131" s="4"/>
      <c r="AP131" s="129">
        <v>46101.0</v>
      </c>
      <c r="AQ131" s="4"/>
      <c r="AR131" s="129">
        <v>46102.0</v>
      </c>
      <c r="AS131" s="4"/>
      <c r="AT131" s="129">
        <v>46103.0</v>
      </c>
      <c r="AU131" s="4"/>
      <c r="AV131" s="129">
        <v>46104.0</v>
      </c>
      <c r="AW131" s="4"/>
      <c r="AX131" s="129">
        <v>46105.0</v>
      </c>
      <c r="AY131" s="4"/>
      <c r="AZ131" s="129">
        <v>46106.0</v>
      </c>
      <c r="BA131" s="4"/>
      <c r="BB131" s="129">
        <v>46107.0</v>
      </c>
      <c r="BC131" s="4"/>
      <c r="BD131" s="129">
        <v>46108.0</v>
      </c>
      <c r="BE131" s="4"/>
      <c r="BF131" s="129">
        <v>46109.0</v>
      </c>
      <c r="BG131" s="4"/>
      <c r="BH131" s="129">
        <v>46110.0</v>
      </c>
      <c r="BI131" s="4"/>
      <c r="BJ131" s="129">
        <v>46111.0</v>
      </c>
      <c r="BK131" s="4"/>
      <c r="BL131" s="129">
        <v>46112.0</v>
      </c>
      <c r="BM131" s="4"/>
    </row>
    <row r="132" ht="13.5" customHeight="1">
      <c r="B132" s="103"/>
      <c r="C132" s="103"/>
      <c r="D132" s="90" t="s">
        <v>273</v>
      </c>
      <c r="E132" s="90" t="s">
        <v>67</v>
      </c>
      <c r="F132" s="90" t="s">
        <v>273</v>
      </c>
      <c r="G132" s="90" t="s">
        <v>67</v>
      </c>
      <c r="H132" s="90" t="s">
        <v>273</v>
      </c>
      <c r="I132" s="90" t="s">
        <v>67</v>
      </c>
      <c r="J132" s="90" t="s">
        <v>273</v>
      </c>
      <c r="K132" s="90" t="s">
        <v>67</v>
      </c>
      <c r="L132" s="90" t="s">
        <v>273</v>
      </c>
      <c r="M132" s="90" t="s">
        <v>67</v>
      </c>
      <c r="N132" s="90" t="s">
        <v>273</v>
      </c>
      <c r="O132" s="90" t="s">
        <v>67</v>
      </c>
      <c r="P132" s="90" t="s">
        <v>273</v>
      </c>
      <c r="Q132" s="90" t="s">
        <v>67</v>
      </c>
      <c r="R132" s="90" t="s">
        <v>273</v>
      </c>
      <c r="S132" s="90" t="s">
        <v>67</v>
      </c>
      <c r="T132" s="90" t="s">
        <v>273</v>
      </c>
      <c r="U132" s="90" t="s">
        <v>67</v>
      </c>
      <c r="V132" s="90" t="s">
        <v>273</v>
      </c>
      <c r="W132" s="90" t="s">
        <v>67</v>
      </c>
      <c r="X132" s="90" t="s">
        <v>273</v>
      </c>
      <c r="Y132" s="90" t="s">
        <v>67</v>
      </c>
      <c r="Z132" s="90" t="s">
        <v>273</v>
      </c>
      <c r="AA132" s="90" t="s">
        <v>67</v>
      </c>
      <c r="AB132" s="90" t="s">
        <v>273</v>
      </c>
      <c r="AC132" s="90" t="s">
        <v>67</v>
      </c>
      <c r="AD132" s="90" t="s">
        <v>273</v>
      </c>
      <c r="AE132" s="90" t="s">
        <v>67</v>
      </c>
      <c r="AF132" s="90" t="s">
        <v>273</v>
      </c>
      <c r="AG132" s="90" t="s">
        <v>67</v>
      </c>
      <c r="AH132" s="90" t="s">
        <v>273</v>
      </c>
      <c r="AI132" s="90" t="s">
        <v>67</v>
      </c>
      <c r="AJ132" s="90" t="s">
        <v>273</v>
      </c>
      <c r="AK132" s="90" t="s">
        <v>67</v>
      </c>
      <c r="AL132" s="90" t="s">
        <v>273</v>
      </c>
      <c r="AM132" s="90" t="s">
        <v>67</v>
      </c>
      <c r="AN132" s="90" t="s">
        <v>273</v>
      </c>
      <c r="AO132" s="90" t="s">
        <v>67</v>
      </c>
      <c r="AP132" s="90" t="s">
        <v>273</v>
      </c>
      <c r="AQ132" s="90" t="s">
        <v>67</v>
      </c>
      <c r="AR132" s="90" t="s">
        <v>273</v>
      </c>
      <c r="AS132" s="90" t="s">
        <v>67</v>
      </c>
      <c r="AT132" s="90" t="s">
        <v>273</v>
      </c>
      <c r="AU132" s="90" t="s">
        <v>67</v>
      </c>
      <c r="AV132" s="90" t="s">
        <v>273</v>
      </c>
      <c r="AW132" s="90" t="s">
        <v>67</v>
      </c>
      <c r="AX132" s="90" t="s">
        <v>273</v>
      </c>
      <c r="AY132" s="90" t="s">
        <v>67</v>
      </c>
      <c r="AZ132" s="90" t="s">
        <v>273</v>
      </c>
      <c r="BA132" s="90" t="s">
        <v>67</v>
      </c>
      <c r="BB132" s="90" t="s">
        <v>273</v>
      </c>
      <c r="BC132" s="90" t="s">
        <v>67</v>
      </c>
      <c r="BD132" s="90" t="s">
        <v>273</v>
      </c>
      <c r="BE132" s="90" t="s">
        <v>67</v>
      </c>
      <c r="BF132" s="90" t="s">
        <v>273</v>
      </c>
      <c r="BG132" s="90" t="s">
        <v>67</v>
      </c>
      <c r="BH132" s="90" t="s">
        <v>273</v>
      </c>
      <c r="BI132" s="90" t="s">
        <v>67</v>
      </c>
      <c r="BJ132" s="90" t="s">
        <v>273</v>
      </c>
      <c r="BK132" s="90" t="s">
        <v>67</v>
      </c>
      <c r="BL132" s="90" t="s">
        <v>273</v>
      </c>
      <c r="BM132" s="90" t="s">
        <v>67</v>
      </c>
    </row>
    <row r="133" ht="13.5" customHeight="1">
      <c r="B133" s="37"/>
      <c r="C133" s="37"/>
      <c r="D133" s="91">
        <v>20.0</v>
      </c>
      <c r="E133" s="76" t="s">
        <v>69</v>
      </c>
      <c r="F133" s="91">
        <v>20.0</v>
      </c>
      <c r="G133" s="76" t="s">
        <v>69</v>
      </c>
      <c r="H133" s="77">
        <v>23.0</v>
      </c>
      <c r="I133" s="76" t="s">
        <v>69</v>
      </c>
      <c r="J133" s="91">
        <v>20.0</v>
      </c>
      <c r="K133" s="76" t="s">
        <v>69</v>
      </c>
      <c r="L133" s="91">
        <v>20.0</v>
      </c>
      <c r="M133" s="76" t="s">
        <v>69</v>
      </c>
      <c r="N133" s="91">
        <v>23.0</v>
      </c>
      <c r="O133" s="91" t="s">
        <v>69</v>
      </c>
      <c r="P133" s="82">
        <v>20.0</v>
      </c>
      <c r="Q133" s="130" t="s">
        <v>69</v>
      </c>
      <c r="R133" s="77">
        <v>20.0</v>
      </c>
      <c r="S133" s="91" t="s">
        <v>69</v>
      </c>
      <c r="T133" s="77">
        <v>25.0</v>
      </c>
      <c r="U133" s="91" t="s">
        <v>69</v>
      </c>
      <c r="V133" s="77">
        <v>20.0</v>
      </c>
      <c r="W133" s="91" t="s">
        <v>69</v>
      </c>
      <c r="X133" s="77">
        <v>22.0</v>
      </c>
      <c r="Y133" s="91" t="s">
        <v>69</v>
      </c>
      <c r="Z133" s="77">
        <v>20.0</v>
      </c>
      <c r="AA133" s="91" t="s">
        <v>69</v>
      </c>
      <c r="AB133" s="78"/>
      <c r="AC133" s="90"/>
      <c r="AD133" s="78"/>
      <c r="AE133" s="90"/>
      <c r="AF133" s="78"/>
      <c r="AG133" s="90"/>
      <c r="AH133" s="78"/>
      <c r="AI133" s="90"/>
      <c r="AJ133" s="78"/>
      <c r="AK133" s="90"/>
      <c r="AL133" s="78"/>
      <c r="AM133" s="90"/>
      <c r="AN133" s="78"/>
      <c r="AO133" s="90"/>
      <c r="AP133" s="78"/>
      <c r="AQ133" s="90"/>
      <c r="AR133" s="78"/>
      <c r="AS133" s="90"/>
      <c r="AT133" s="78"/>
      <c r="AU133" s="90"/>
      <c r="AV133" s="78"/>
      <c r="AW133" s="90"/>
      <c r="AX133" s="78"/>
      <c r="AY133" s="90"/>
      <c r="AZ133" s="78"/>
      <c r="BA133" s="90"/>
      <c r="BB133" s="78"/>
      <c r="BC133" s="90"/>
      <c r="BD133" s="78"/>
      <c r="BE133" s="90"/>
      <c r="BF133" s="78"/>
      <c r="BG133" s="90"/>
      <c r="BH133" s="78"/>
      <c r="BI133" s="90"/>
      <c r="BJ133" s="78"/>
      <c r="BK133" s="90"/>
      <c r="BL133" s="78"/>
      <c r="BM133" s="90"/>
    </row>
    <row r="134" ht="13.5" customHeight="1"/>
    <row r="135" ht="13.5" customHeight="1">
      <c r="B135" s="127" t="s">
        <v>274</v>
      </c>
      <c r="C135" s="110" t="s">
        <v>275</v>
      </c>
      <c r="D135" s="131" t="s">
        <v>276</v>
      </c>
      <c r="E135" s="4"/>
      <c r="F135" s="131" t="s">
        <v>277</v>
      </c>
      <c r="G135" s="4"/>
      <c r="H135" s="131" t="s">
        <v>278</v>
      </c>
      <c r="I135" s="4"/>
      <c r="J135" s="131" t="s">
        <v>279</v>
      </c>
      <c r="K135" s="4"/>
      <c r="L135" s="131" t="s">
        <v>280</v>
      </c>
      <c r="M135" s="4"/>
      <c r="N135" s="131" t="s">
        <v>281</v>
      </c>
      <c r="O135" s="4"/>
      <c r="P135" s="131" t="s">
        <v>282</v>
      </c>
      <c r="Q135" s="4"/>
      <c r="R135" s="131" t="s">
        <v>283</v>
      </c>
      <c r="S135" s="3"/>
      <c r="T135" s="13"/>
      <c r="U135" s="13"/>
    </row>
    <row r="136" ht="13.5" customHeight="1">
      <c r="B136" s="103"/>
      <c r="C136" s="103"/>
      <c r="D136" s="90" t="s">
        <v>66</v>
      </c>
      <c r="E136" s="90" t="s">
        <v>67</v>
      </c>
      <c r="F136" s="90" t="s">
        <v>66</v>
      </c>
      <c r="G136" s="90" t="s">
        <v>67</v>
      </c>
      <c r="H136" s="90" t="s">
        <v>66</v>
      </c>
      <c r="I136" s="90" t="s">
        <v>67</v>
      </c>
      <c r="J136" s="90" t="s">
        <v>66</v>
      </c>
      <c r="K136" s="90" t="s">
        <v>67</v>
      </c>
      <c r="L136" s="90" t="s">
        <v>66</v>
      </c>
      <c r="M136" s="90" t="s">
        <v>67</v>
      </c>
      <c r="N136" s="90" t="s">
        <v>66</v>
      </c>
      <c r="O136" s="90" t="s">
        <v>67</v>
      </c>
      <c r="P136" s="90" t="s">
        <v>66</v>
      </c>
      <c r="Q136" s="90" t="s">
        <v>67</v>
      </c>
      <c r="R136" s="90" t="s">
        <v>66</v>
      </c>
      <c r="S136" s="132" t="s">
        <v>67</v>
      </c>
      <c r="T136" s="13"/>
      <c r="U136" s="13"/>
    </row>
    <row r="137" ht="13.5" customHeight="1">
      <c r="B137" s="37"/>
      <c r="C137" s="37"/>
      <c r="D137" s="78"/>
      <c r="E137" s="90"/>
      <c r="F137" s="78"/>
      <c r="G137" s="90"/>
      <c r="H137" s="78"/>
      <c r="I137" s="90"/>
      <c r="J137" s="78"/>
      <c r="K137" s="90"/>
      <c r="L137" s="78"/>
      <c r="M137" s="90"/>
      <c r="N137" s="78"/>
      <c r="O137" s="90"/>
      <c r="P137" s="113"/>
      <c r="Q137" s="130"/>
      <c r="R137" s="78"/>
      <c r="S137" s="132"/>
      <c r="T137" s="13"/>
      <c r="U137" s="13"/>
    </row>
    <row r="138" ht="13.5" customHeight="1">
      <c r="T138" s="13"/>
      <c r="U138" s="13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8">
    <mergeCell ref="R7:S7"/>
    <mergeCell ref="T7:U7"/>
    <mergeCell ref="V7:W7"/>
    <mergeCell ref="X7:Y7"/>
    <mergeCell ref="Z7:AA7"/>
    <mergeCell ref="AB7:AC7"/>
    <mergeCell ref="AD7:AE7"/>
    <mergeCell ref="D7:E7"/>
    <mergeCell ref="F7:G7"/>
    <mergeCell ref="H7:I7"/>
    <mergeCell ref="J7:K7"/>
    <mergeCell ref="L7:M7"/>
    <mergeCell ref="N7:O7"/>
    <mergeCell ref="P7:Q7"/>
    <mergeCell ref="AX9:AY9"/>
    <mergeCell ref="AZ9:BA9"/>
    <mergeCell ref="AJ9:AK9"/>
    <mergeCell ref="AL9:AM9"/>
    <mergeCell ref="AN9:AO9"/>
    <mergeCell ref="AP9:AQ9"/>
    <mergeCell ref="AR9:AS9"/>
    <mergeCell ref="AT9:AU9"/>
    <mergeCell ref="AV9:AW9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BD3:BE3"/>
    <mergeCell ref="BF3:BG3"/>
    <mergeCell ref="BH3:BI3"/>
    <mergeCell ref="BJ3:BK3"/>
    <mergeCell ref="BL3:BM3"/>
    <mergeCell ref="AP3:AQ3"/>
    <mergeCell ref="AR3:AS3"/>
    <mergeCell ref="AT3:AU3"/>
    <mergeCell ref="AV3:AW3"/>
    <mergeCell ref="AX3:AY3"/>
    <mergeCell ref="AZ3:BA3"/>
    <mergeCell ref="BB3:BC3"/>
    <mergeCell ref="B3:B4"/>
    <mergeCell ref="C3:C4"/>
    <mergeCell ref="D3:E3"/>
    <mergeCell ref="F3:G3"/>
    <mergeCell ref="H3:I3"/>
    <mergeCell ref="J3:K3"/>
    <mergeCell ref="L3:M3"/>
    <mergeCell ref="AF7:AG7"/>
    <mergeCell ref="AV7:AW7"/>
    <mergeCell ref="BB7:BC7"/>
    <mergeCell ref="BB9:BC9"/>
    <mergeCell ref="BD9:BE9"/>
    <mergeCell ref="BF9:BG9"/>
    <mergeCell ref="D9:E9"/>
    <mergeCell ref="F9:G9"/>
    <mergeCell ref="H9:I9"/>
    <mergeCell ref="J9:K9"/>
    <mergeCell ref="L9:M9"/>
    <mergeCell ref="N9:O9"/>
    <mergeCell ref="P9:Q9"/>
    <mergeCell ref="AF9:AG9"/>
    <mergeCell ref="AH9:AI9"/>
    <mergeCell ref="R9:S9"/>
    <mergeCell ref="T9:U9"/>
    <mergeCell ref="V9:W9"/>
    <mergeCell ref="X9:Y9"/>
    <mergeCell ref="Z9:AA9"/>
    <mergeCell ref="AB9:AC9"/>
    <mergeCell ref="AD9:AE9"/>
    <mergeCell ref="P17:AA17"/>
    <mergeCell ref="AB17:AM17"/>
    <mergeCell ref="AN17:AY17"/>
    <mergeCell ref="AZ17:BC17"/>
    <mergeCell ref="N18:O18"/>
    <mergeCell ref="P18:Q18"/>
    <mergeCell ref="R18:S18"/>
    <mergeCell ref="T18:U18"/>
    <mergeCell ref="V18:W18"/>
    <mergeCell ref="X18:Y18"/>
    <mergeCell ref="Z18:AA18"/>
    <mergeCell ref="AP18:AQ18"/>
    <mergeCell ref="AR18:AS18"/>
    <mergeCell ref="AT18:AU18"/>
    <mergeCell ref="AV18:AW18"/>
    <mergeCell ref="AX18:AY18"/>
    <mergeCell ref="AZ18:BA18"/>
    <mergeCell ref="BB18:BC18"/>
    <mergeCell ref="AB18:AC18"/>
    <mergeCell ref="AD18:AE18"/>
    <mergeCell ref="AF18:AG18"/>
    <mergeCell ref="AH18:AI18"/>
    <mergeCell ref="AJ18:AK18"/>
    <mergeCell ref="AL18:AM18"/>
    <mergeCell ref="AN18:AO18"/>
    <mergeCell ref="B21:B22"/>
    <mergeCell ref="C21:C22"/>
    <mergeCell ref="D21:E21"/>
    <mergeCell ref="F21:G21"/>
    <mergeCell ref="H21:I21"/>
    <mergeCell ref="J21:K2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Z131:AA131"/>
    <mergeCell ref="AB131:AC131"/>
    <mergeCell ref="AD131:AE131"/>
    <mergeCell ref="AF131:AG131"/>
    <mergeCell ref="AH131:AI131"/>
    <mergeCell ref="AJ131:AK131"/>
    <mergeCell ref="AZ131:BA131"/>
    <mergeCell ref="BB131:BC131"/>
    <mergeCell ref="BD131:BE131"/>
    <mergeCell ref="BF131:BG131"/>
    <mergeCell ref="BH131:BI131"/>
    <mergeCell ref="BJ131:BK131"/>
    <mergeCell ref="BL131:BM131"/>
    <mergeCell ref="AL131:AM131"/>
    <mergeCell ref="AN131:AO131"/>
    <mergeCell ref="AP131:AQ131"/>
    <mergeCell ref="AR131:AS131"/>
    <mergeCell ref="AT131:AU131"/>
    <mergeCell ref="AV131:AW131"/>
    <mergeCell ref="AX131:AY131"/>
    <mergeCell ref="N135:O135"/>
    <mergeCell ref="P135:Q135"/>
    <mergeCell ref="R135:S135"/>
    <mergeCell ref="B135:B137"/>
    <mergeCell ref="C135:C137"/>
    <mergeCell ref="D135:E135"/>
    <mergeCell ref="F135:G135"/>
    <mergeCell ref="H135:I135"/>
    <mergeCell ref="J135:K135"/>
    <mergeCell ref="L135:M135"/>
    <mergeCell ref="B13:B14"/>
    <mergeCell ref="C13:C14"/>
    <mergeCell ref="D13:E13"/>
    <mergeCell ref="F13:G13"/>
    <mergeCell ref="H13:I13"/>
    <mergeCell ref="J13:K13"/>
    <mergeCell ref="D17:O17"/>
    <mergeCell ref="C18:C19"/>
    <mergeCell ref="D18:E18"/>
    <mergeCell ref="F18:G18"/>
    <mergeCell ref="H18:I18"/>
    <mergeCell ref="J18:K18"/>
    <mergeCell ref="L18:M18"/>
    <mergeCell ref="B25:R25"/>
    <mergeCell ref="C92:C94"/>
    <mergeCell ref="D92:E92"/>
    <mergeCell ref="B95:J95"/>
    <mergeCell ref="F92:G92"/>
    <mergeCell ref="H92:I92"/>
    <mergeCell ref="J92:K92"/>
    <mergeCell ref="B74:B75"/>
    <mergeCell ref="B89:B91"/>
    <mergeCell ref="C89:C91"/>
    <mergeCell ref="D89:E89"/>
    <mergeCell ref="F89:G89"/>
    <mergeCell ref="H89:I89"/>
    <mergeCell ref="B92:B94"/>
    <mergeCell ref="B18:B19"/>
    <mergeCell ref="B27:B59"/>
    <mergeCell ref="C27:C59"/>
    <mergeCell ref="B60:B73"/>
    <mergeCell ref="C60:C73"/>
    <mergeCell ref="C74:C75"/>
    <mergeCell ref="D74:E74"/>
    <mergeCell ref="B96:B129"/>
    <mergeCell ref="C96:C129"/>
    <mergeCell ref="B131:B133"/>
    <mergeCell ref="C131:C133"/>
    <mergeCell ref="D131:E131"/>
    <mergeCell ref="F131:G131"/>
    <mergeCell ref="H131:I131"/>
  </mergeCells>
  <conditionalFormatting sqref="A1:BM1000">
    <cfRule type="containsText" dxfId="0" priority="1" operator="containsText" text="Done">
      <formula>NOT(ISERROR(SEARCH(("Done"),(A1))))</formula>
    </cfRule>
  </conditionalFormatting>
  <printOptions/>
  <pageMargins bottom="0.75" footer="0.0" header="0.0" left="0.7" right="0.7" top="0.75"/>
  <pageSetup orientation="portrait"/>
  <colBreaks count="1" manualBreakCount="1">
    <brk id="38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0.88"/>
    <col customWidth="1" min="3" max="3" width="12.75"/>
    <col customWidth="1" min="4" max="4" width="10.25"/>
    <col customWidth="1" min="5" max="5" width="21.88"/>
    <col customWidth="1" min="6" max="6" width="19.75"/>
    <col customWidth="1" min="7" max="7" width="18.25"/>
    <col customWidth="1" min="8" max="8" width="11.13"/>
    <col customWidth="1" min="9" max="9" width="33.75"/>
    <col customWidth="1" min="10" max="19" width="8.75"/>
    <col customWidth="1" min="20" max="26" width="14.38"/>
  </cols>
  <sheetData>
    <row r="1">
      <c r="A1" s="133" t="s">
        <v>284</v>
      </c>
      <c r="B1" s="3"/>
      <c r="C1" s="4"/>
      <c r="D1" s="134">
        <v>56.0</v>
      </c>
      <c r="E1" s="4"/>
      <c r="G1" s="6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6"/>
    </row>
    <row r="2" ht="13.5" customHeight="1">
      <c r="A2" s="133" t="s">
        <v>285</v>
      </c>
      <c r="B2" s="3"/>
      <c r="C2" s="4"/>
      <c r="D2" s="132">
        <f>COUNTIF(H5:H49996,"Done")</f>
        <v>62</v>
      </c>
      <c r="E2" s="4"/>
    </row>
    <row r="3" ht="13.5" customHeight="1">
      <c r="A3" s="133" t="s">
        <v>286</v>
      </c>
      <c r="B3" s="3"/>
      <c r="C3" s="4"/>
      <c r="D3" s="132">
        <f>D1-D2</f>
        <v>-6</v>
      </c>
      <c r="E3" s="4"/>
    </row>
    <row r="4" ht="13.5" customHeight="1">
      <c r="A4" s="137" t="s">
        <v>287</v>
      </c>
      <c r="B4" s="137" t="s">
        <v>218</v>
      </c>
      <c r="C4" s="137" t="s">
        <v>288</v>
      </c>
      <c r="D4" s="137" t="s">
        <v>289</v>
      </c>
      <c r="E4" s="137" t="s">
        <v>290</v>
      </c>
      <c r="F4" s="137" t="s">
        <v>291</v>
      </c>
      <c r="G4" s="137" t="s">
        <v>292</v>
      </c>
      <c r="H4" s="137" t="s">
        <v>122</v>
      </c>
      <c r="I4" s="137" t="s">
        <v>293</v>
      </c>
    </row>
    <row r="5" ht="13.5" customHeight="1">
      <c r="A5" s="90">
        <v>1.0</v>
      </c>
      <c r="B5" s="138">
        <v>45975.0</v>
      </c>
      <c r="C5" s="93">
        <v>19.0</v>
      </c>
      <c r="D5" s="93">
        <v>9.0</v>
      </c>
      <c r="E5" s="90" t="s">
        <v>294</v>
      </c>
      <c r="F5" s="90" t="s">
        <v>295</v>
      </c>
      <c r="G5" s="139">
        <v>45978.0</v>
      </c>
      <c r="H5" s="90" t="s">
        <v>69</v>
      </c>
      <c r="I5" s="90"/>
    </row>
    <row r="6" ht="13.5" customHeight="1">
      <c r="A6" s="90">
        <v>2.0</v>
      </c>
      <c r="B6" s="138">
        <v>45975.0</v>
      </c>
      <c r="C6" s="93">
        <v>38.0</v>
      </c>
      <c r="D6" s="93">
        <v>28.0</v>
      </c>
      <c r="E6" s="90" t="s">
        <v>294</v>
      </c>
      <c r="F6" s="90" t="s">
        <v>296</v>
      </c>
      <c r="G6" s="139">
        <v>45994.0</v>
      </c>
      <c r="H6" s="90" t="s">
        <v>69</v>
      </c>
      <c r="I6" s="90"/>
    </row>
    <row r="7" ht="13.5" customHeight="1">
      <c r="A7" s="90">
        <v>3.0</v>
      </c>
      <c r="B7" s="138">
        <v>45975.0</v>
      </c>
      <c r="C7" s="93">
        <v>46.0</v>
      </c>
      <c r="D7" s="93">
        <v>17.0</v>
      </c>
      <c r="E7" s="90" t="s">
        <v>294</v>
      </c>
      <c r="F7" s="90" t="s">
        <v>295</v>
      </c>
      <c r="G7" s="139">
        <v>45975.0</v>
      </c>
      <c r="H7" s="90" t="s">
        <v>69</v>
      </c>
      <c r="I7" s="90"/>
    </row>
    <row r="8" ht="13.5" customHeight="1">
      <c r="A8" s="90">
        <v>4.0</v>
      </c>
      <c r="B8" s="138">
        <v>45976.0</v>
      </c>
      <c r="C8" s="93">
        <v>65.0</v>
      </c>
      <c r="D8" s="93">
        <v>15.0</v>
      </c>
      <c r="E8" s="90" t="s">
        <v>294</v>
      </c>
      <c r="F8" s="90" t="s">
        <v>295</v>
      </c>
      <c r="G8" s="139">
        <v>45979.0</v>
      </c>
      <c r="H8" s="90" t="s">
        <v>69</v>
      </c>
      <c r="I8" s="90"/>
    </row>
    <row r="9" ht="13.5" customHeight="1">
      <c r="A9" s="90">
        <v>5.0</v>
      </c>
      <c r="B9" s="138">
        <v>45976.0</v>
      </c>
      <c r="C9" s="93">
        <v>76.0</v>
      </c>
      <c r="D9" s="93">
        <v>16.0</v>
      </c>
      <c r="E9" s="90" t="s">
        <v>294</v>
      </c>
      <c r="F9" s="90" t="s">
        <v>295</v>
      </c>
      <c r="G9" s="139">
        <v>45979.0</v>
      </c>
      <c r="H9" s="90" t="s">
        <v>69</v>
      </c>
      <c r="I9" s="90"/>
    </row>
    <row r="10" ht="13.5" customHeight="1">
      <c r="A10" s="90">
        <v>6.0</v>
      </c>
      <c r="B10" s="138">
        <v>45976.0</v>
      </c>
      <c r="C10" s="93">
        <v>89.0</v>
      </c>
      <c r="D10" s="93">
        <v>32.0</v>
      </c>
      <c r="E10" s="90" t="s">
        <v>294</v>
      </c>
      <c r="F10" s="90" t="s">
        <v>295</v>
      </c>
      <c r="G10" s="139">
        <v>45979.0</v>
      </c>
      <c r="H10" s="90" t="s">
        <v>69</v>
      </c>
      <c r="I10" s="90"/>
    </row>
    <row r="11" ht="13.5" customHeight="1">
      <c r="A11" s="90">
        <v>7.0</v>
      </c>
      <c r="B11" s="138">
        <v>45976.0</v>
      </c>
      <c r="C11" s="140">
        <v>91.0</v>
      </c>
      <c r="D11" s="140">
        <v>32.0</v>
      </c>
      <c r="E11" s="90" t="s">
        <v>294</v>
      </c>
      <c r="F11" s="90" t="s">
        <v>295</v>
      </c>
      <c r="G11" s="139">
        <v>45979.0</v>
      </c>
      <c r="H11" s="90" t="s">
        <v>69</v>
      </c>
      <c r="I11" s="90"/>
    </row>
    <row r="12" ht="13.5" customHeight="1">
      <c r="A12" s="90">
        <v>8.0</v>
      </c>
      <c r="B12" s="138">
        <v>45976.0</v>
      </c>
      <c r="C12" s="93">
        <v>91.0</v>
      </c>
      <c r="D12" s="93">
        <v>34.0</v>
      </c>
      <c r="E12" s="90" t="s">
        <v>294</v>
      </c>
      <c r="F12" s="90" t="s">
        <v>295</v>
      </c>
      <c r="G12" s="139">
        <v>45980.0</v>
      </c>
      <c r="H12" s="90" t="s">
        <v>69</v>
      </c>
      <c r="I12" s="90"/>
    </row>
    <row r="13" ht="13.5" customHeight="1">
      <c r="A13" s="90">
        <v>9.0</v>
      </c>
      <c r="B13" s="138">
        <v>45976.0</v>
      </c>
      <c r="C13" s="93">
        <v>92.0</v>
      </c>
      <c r="D13" s="93">
        <v>29.0</v>
      </c>
      <c r="E13" s="90" t="s">
        <v>294</v>
      </c>
      <c r="F13" s="90" t="s">
        <v>295</v>
      </c>
      <c r="G13" s="139">
        <v>45980.0</v>
      </c>
      <c r="H13" s="90" t="s">
        <v>69</v>
      </c>
      <c r="I13" s="90" t="s">
        <v>297</v>
      </c>
    </row>
    <row r="14" ht="13.5" customHeight="1">
      <c r="A14" s="90">
        <v>10.0</v>
      </c>
      <c r="B14" s="138">
        <v>45976.0</v>
      </c>
      <c r="C14" s="93">
        <v>99.0</v>
      </c>
      <c r="D14" s="93">
        <v>3.0</v>
      </c>
      <c r="E14" s="90" t="s">
        <v>294</v>
      </c>
      <c r="F14" s="90" t="s">
        <v>295</v>
      </c>
      <c r="G14" s="139">
        <v>45980.0</v>
      </c>
      <c r="H14" s="90" t="s">
        <v>69</v>
      </c>
      <c r="I14" s="90"/>
    </row>
    <row r="15" ht="13.5" customHeight="1">
      <c r="A15" s="90">
        <v>11.0</v>
      </c>
      <c r="B15" s="138">
        <v>45976.0</v>
      </c>
      <c r="C15" s="93">
        <v>99.0</v>
      </c>
      <c r="D15" s="93">
        <v>18.0</v>
      </c>
      <c r="E15" s="90" t="s">
        <v>294</v>
      </c>
      <c r="F15" s="90" t="s">
        <v>295</v>
      </c>
      <c r="G15" s="139">
        <v>45981.0</v>
      </c>
      <c r="H15" s="90" t="s">
        <v>69</v>
      </c>
      <c r="I15" s="90"/>
    </row>
    <row r="16" ht="13.5" customHeight="1">
      <c r="A16" s="90">
        <v>12.0</v>
      </c>
      <c r="B16" s="138">
        <v>45976.0</v>
      </c>
      <c r="C16" s="93">
        <v>102.0</v>
      </c>
      <c r="D16" s="93">
        <v>36.0</v>
      </c>
      <c r="E16" s="90" t="s">
        <v>294</v>
      </c>
      <c r="F16" s="90" t="s">
        <v>295</v>
      </c>
      <c r="G16" s="139">
        <v>45981.0</v>
      </c>
      <c r="H16" s="90" t="s">
        <v>69</v>
      </c>
      <c r="I16" s="90"/>
    </row>
    <row r="17" ht="13.5" customHeight="1">
      <c r="A17" s="90">
        <v>13.0</v>
      </c>
      <c r="B17" s="138">
        <v>45976.0</v>
      </c>
      <c r="C17" s="93">
        <v>104.0</v>
      </c>
      <c r="D17" s="93">
        <v>32.0</v>
      </c>
      <c r="E17" s="90" t="s">
        <v>294</v>
      </c>
      <c r="F17" s="90" t="s">
        <v>295</v>
      </c>
      <c r="G17" s="139">
        <v>45981.0</v>
      </c>
      <c r="H17" s="90" t="s">
        <v>69</v>
      </c>
      <c r="I17" s="90"/>
    </row>
    <row r="18" ht="13.5" customHeight="1">
      <c r="A18" s="90">
        <v>14.0</v>
      </c>
      <c r="B18" s="138">
        <v>45976.0</v>
      </c>
      <c r="C18" s="93">
        <v>129.0</v>
      </c>
      <c r="D18" s="93">
        <v>23.0</v>
      </c>
      <c r="E18" s="90" t="s">
        <v>294</v>
      </c>
      <c r="F18" s="90" t="s">
        <v>295</v>
      </c>
      <c r="G18" s="139">
        <v>45981.0</v>
      </c>
      <c r="H18" s="90" t="s">
        <v>69</v>
      </c>
      <c r="I18" s="90"/>
    </row>
    <row r="19" ht="13.5" customHeight="1">
      <c r="A19" s="90">
        <v>15.0</v>
      </c>
      <c r="B19" s="141">
        <v>45979.0</v>
      </c>
      <c r="C19" s="93">
        <v>8.0</v>
      </c>
      <c r="D19" s="93">
        <v>17.0</v>
      </c>
      <c r="E19" s="90" t="s">
        <v>294</v>
      </c>
      <c r="F19" s="93" t="s">
        <v>298</v>
      </c>
      <c r="G19" s="139">
        <v>45993.0</v>
      </c>
      <c r="H19" s="90" t="s">
        <v>69</v>
      </c>
      <c r="I19" s="90"/>
    </row>
    <row r="20" ht="13.5" customHeight="1">
      <c r="A20" s="90">
        <v>16.0</v>
      </c>
      <c r="B20" s="141">
        <v>45979.0</v>
      </c>
      <c r="C20" s="93">
        <v>33.0</v>
      </c>
      <c r="D20" s="93">
        <v>26.0</v>
      </c>
      <c r="E20" s="90" t="s">
        <v>294</v>
      </c>
      <c r="F20" s="90" t="s">
        <v>285</v>
      </c>
      <c r="G20" s="139">
        <v>45990.0</v>
      </c>
      <c r="H20" s="90" t="s">
        <v>69</v>
      </c>
      <c r="I20" s="90"/>
    </row>
    <row r="21" ht="13.5" customHeight="1">
      <c r="A21" s="90">
        <v>17.0</v>
      </c>
      <c r="B21" s="141">
        <v>45979.0</v>
      </c>
      <c r="C21" s="93">
        <v>65.0</v>
      </c>
      <c r="D21" s="93">
        <v>15.0</v>
      </c>
      <c r="E21" s="90" t="s">
        <v>294</v>
      </c>
      <c r="F21" s="90" t="s">
        <v>295</v>
      </c>
      <c r="G21" s="139">
        <v>45982.0</v>
      </c>
      <c r="H21" s="90" t="s">
        <v>69</v>
      </c>
      <c r="I21" s="90"/>
    </row>
    <row r="22" ht="13.5" customHeight="1">
      <c r="A22" s="90">
        <v>18.0</v>
      </c>
      <c r="B22" s="141">
        <v>45979.0</v>
      </c>
      <c r="C22" s="93">
        <v>100.0</v>
      </c>
      <c r="D22" s="93">
        <v>15.0</v>
      </c>
      <c r="E22" s="90" t="s">
        <v>294</v>
      </c>
      <c r="F22" s="90" t="s">
        <v>295</v>
      </c>
      <c r="G22" s="139">
        <v>45982.0</v>
      </c>
      <c r="H22" s="90" t="s">
        <v>69</v>
      </c>
      <c r="I22" s="90"/>
    </row>
    <row r="23" ht="13.5" customHeight="1">
      <c r="A23" s="90">
        <v>19.0</v>
      </c>
      <c r="B23" s="141">
        <v>45979.0</v>
      </c>
      <c r="C23" s="93">
        <v>100.0</v>
      </c>
      <c r="D23" s="93">
        <v>18.0</v>
      </c>
      <c r="E23" s="90" t="s">
        <v>294</v>
      </c>
      <c r="F23" s="90" t="s">
        <v>295</v>
      </c>
      <c r="G23" s="139">
        <v>45982.0</v>
      </c>
      <c r="H23" s="90" t="s">
        <v>69</v>
      </c>
      <c r="I23" s="90"/>
    </row>
    <row r="24" ht="13.5" customHeight="1">
      <c r="A24" s="90">
        <v>20.0</v>
      </c>
      <c r="B24" s="141">
        <v>45979.0</v>
      </c>
      <c r="C24" s="93">
        <v>102.0</v>
      </c>
      <c r="D24" s="93">
        <v>36.0</v>
      </c>
      <c r="E24" s="90" t="s">
        <v>294</v>
      </c>
      <c r="F24" s="90" t="s">
        <v>295</v>
      </c>
      <c r="G24" s="139">
        <v>45982.0</v>
      </c>
      <c r="H24" s="90" t="s">
        <v>69</v>
      </c>
      <c r="I24" s="90"/>
    </row>
    <row r="25" ht="13.5" customHeight="1">
      <c r="A25" s="90">
        <v>21.0</v>
      </c>
      <c r="B25" s="141">
        <v>45979.0</v>
      </c>
      <c r="C25" s="93">
        <v>125.0</v>
      </c>
      <c r="D25" s="93">
        <v>17.0</v>
      </c>
      <c r="E25" s="90" t="s">
        <v>294</v>
      </c>
      <c r="F25" s="90" t="s">
        <v>296</v>
      </c>
      <c r="G25" s="139">
        <v>45993.0</v>
      </c>
      <c r="H25" s="90" t="s">
        <v>69</v>
      </c>
      <c r="I25" s="90"/>
    </row>
    <row r="26" ht="13.5" customHeight="1">
      <c r="A26" s="90">
        <v>22.0</v>
      </c>
      <c r="B26" s="141">
        <v>45979.0</v>
      </c>
      <c r="C26" s="93">
        <v>130.0</v>
      </c>
      <c r="D26" s="93">
        <v>10.0</v>
      </c>
      <c r="E26" s="90" t="s">
        <v>294</v>
      </c>
      <c r="F26" s="90" t="s">
        <v>295</v>
      </c>
      <c r="G26" s="139">
        <v>45983.0</v>
      </c>
      <c r="H26" s="90" t="s">
        <v>69</v>
      </c>
      <c r="I26" s="90"/>
    </row>
    <row r="27" ht="13.5" customHeight="1">
      <c r="A27" s="90">
        <v>23.0</v>
      </c>
      <c r="B27" s="141">
        <v>45981.0</v>
      </c>
      <c r="C27" s="93">
        <v>130.0</v>
      </c>
      <c r="D27" s="93">
        <v>14.0</v>
      </c>
      <c r="E27" s="90" t="s">
        <v>294</v>
      </c>
      <c r="F27" s="90" t="s">
        <v>295</v>
      </c>
      <c r="G27" s="139">
        <v>45983.0</v>
      </c>
      <c r="H27" s="90" t="s">
        <v>69</v>
      </c>
      <c r="I27" s="142"/>
    </row>
    <row r="28" ht="13.5" customHeight="1">
      <c r="A28" s="90">
        <v>24.0</v>
      </c>
      <c r="B28" s="141">
        <v>45982.0</v>
      </c>
      <c r="C28" s="93">
        <v>99.0</v>
      </c>
      <c r="D28" s="93">
        <v>18.0</v>
      </c>
      <c r="E28" s="90" t="s">
        <v>294</v>
      </c>
      <c r="F28" s="90" t="s">
        <v>295</v>
      </c>
      <c r="G28" s="139">
        <v>45984.0</v>
      </c>
      <c r="H28" s="90" t="s">
        <v>69</v>
      </c>
      <c r="I28" s="90"/>
    </row>
    <row r="29" ht="13.5" customHeight="1">
      <c r="A29" s="90">
        <v>25.0</v>
      </c>
      <c r="B29" s="141">
        <v>45983.0</v>
      </c>
      <c r="C29" s="93">
        <v>101.0</v>
      </c>
      <c r="D29" s="93">
        <v>15.0</v>
      </c>
      <c r="E29" s="90" t="s">
        <v>294</v>
      </c>
      <c r="F29" s="90" t="s">
        <v>295</v>
      </c>
      <c r="G29" s="139">
        <v>45984.0</v>
      </c>
      <c r="H29" s="90" t="s">
        <v>69</v>
      </c>
      <c r="I29" s="90"/>
    </row>
    <row r="30" ht="13.5" customHeight="1">
      <c r="A30" s="90">
        <v>26.0</v>
      </c>
      <c r="B30" s="141">
        <v>45984.0</v>
      </c>
      <c r="C30" s="93">
        <v>11.0</v>
      </c>
      <c r="D30" s="93">
        <v>11.0</v>
      </c>
      <c r="E30" s="90" t="s">
        <v>294</v>
      </c>
      <c r="F30" s="90" t="s">
        <v>295</v>
      </c>
      <c r="G30" s="139">
        <v>45984.0</v>
      </c>
      <c r="H30" s="90" t="s">
        <v>69</v>
      </c>
      <c r="I30" s="90"/>
    </row>
    <row r="31" ht="13.5" customHeight="1">
      <c r="A31" s="90">
        <v>27.0</v>
      </c>
      <c r="B31" s="141">
        <v>45984.0</v>
      </c>
      <c r="C31" s="93">
        <v>100.0</v>
      </c>
      <c r="D31" s="93">
        <v>18.0</v>
      </c>
      <c r="E31" s="90" t="s">
        <v>294</v>
      </c>
      <c r="F31" s="90" t="s">
        <v>295</v>
      </c>
      <c r="G31" s="139">
        <v>45985.0</v>
      </c>
      <c r="H31" s="90" t="s">
        <v>69</v>
      </c>
      <c r="I31" s="90"/>
    </row>
    <row r="32" ht="13.5" customHeight="1">
      <c r="A32" s="90">
        <v>28.0</v>
      </c>
      <c r="B32" s="141">
        <v>45984.0</v>
      </c>
      <c r="C32" s="93">
        <v>101.0</v>
      </c>
      <c r="D32" s="93">
        <v>25.0</v>
      </c>
      <c r="E32" s="90" t="s">
        <v>294</v>
      </c>
      <c r="F32" s="90" t="s">
        <v>295</v>
      </c>
      <c r="G32" s="139">
        <v>45985.0</v>
      </c>
      <c r="H32" s="90" t="s">
        <v>69</v>
      </c>
      <c r="I32" s="90"/>
    </row>
    <row r="33" ht="13.5" customHeight="1">
      <c r="A33" s="90">
        <v>29.0</v>
      </c>
      <c r="B33" s="141">
        <v>45987.0</v>
      </c>
      <c r="C33" s="93">
        <v>47.0</v>
      </c>
      <c r="D33" s="93">
        <v>24.0</v>
      </c>
      <c r="E33" s="90" t="s">
        <v>294</v>
      </c>
      <c r="F33" s="90" t="s">
        <v>295</v>
      </c>
      <c r="G33" s="139">
        <v>45987.0</v>
      </c>
      <c r="H33" s="90" t="s">
        <v>69</v>
      </c>
      <c r="I33" s="90"/>
    </row>
    <row r="34" ht="13.5" customHeight="1">
      <c r="A34" s="90">
        <v>30.0</v>
      </c>
      <c r="B34" s="141">
        <v>45987.0</v>
      </c>
      <c r="C34" s="93">
        <v>84.0</v>
      </c>
      <c r="D34" s="93">
        <v>32.0</v>
      </c>
      <c r="E34" s="90" t="s">
        <v>294</v>
      </c>
      <c r="F34" s="90" t="s">
        <v>295</v>
      </c>
      <c r="G34" s="139">
        <v>45987.0</v>
      </c>
      <c r="H34" s="90" t="s">
        <v>69</v>
      </c>
      <c r="I34" s="90"/>
    </row>
    <row r="35" ht="13.5" customHeight="1">
      <c r="A35" s="90">
        <v>31.0</v>
      </c>
      <c r="B35" s="139">
        <v>45988.0</v>
      </c>
      <c r="C35" s="93">
        <v>11.0</v>
      </c>
      <c r="D35" s="93">
        <v>22.0</v>
      </c>
      <c r="E35" s="90" t="s">
        <v>294</v>
      </c>
      <c r="F35" s="90" t="s">
        <v>295</v>
      </c>
      <c r="G35" s="139">
        <v>45988.0</v>
      </c>
      <c r="H35" s="143" t="s">
        <v>69</v>
      </c>
      <c r="I35" s="142"/>
    </row>
    <row r="36" ht="13.5" customHeight="1">
      <c r="A36" s="90">
        <v>32.0</v>
      </c>
      <c r="B36" s="139">
        <v>45991.0</v>
      </c>
      <c r="C36" s="93">
        <v>76.0</v>
      </c>
      <c r="D36" s="93">
        <v>16.0</v>
      </c>
      <c r="E36" s="90" t="s">
        <v>294</v>
      </c>
      <c r="F36" s="93" t="s">
        <v>298</v>
      </c>
      <c r="G36" s="139">
        <v>45992.0</v>
      </c>
      <c r="H36" s="90" t="s">
        <v>69</v>
      </c>
      <c r="I36" s="90"/>
    </row>
    <row r="37" ht="13.5" customHeight="1">
      <c r="A37" s="90">
        <v>33.0</v>
      </c>
      <c r="B37" s="139">
        <v>45991.0</v>
      </c>
      <c r="C37" s="93">
        <v>52.0</v>
      </c>
      <c r="D37" s="93">
        <v>26.0</v>
      </c>
      <c r="E37" s="90" t="s">
        <v>294</v>
      </c>
      <c r="F37" s="90" t="s">
        <v>295</v>
      </c>
      <c r="G37" s="139">
        <v>45991.0</v>
      </c>
      <c r="H37" s="90" t="s">
        <v>69</v>
      </c>
      <c r="I37" s="90"/>
    </row>
    <row r="38" ht="13.5" customHeight="1">
      <c r="A38" s="90">
        <v>34.0</v>
      </c>
      <c r="B38" s="139">
        <v>45991.0</v>
      </c>
      <c r="C38" s="93">
        <v>55.0</v>
      </c>
      <c r="D38" s="93">
        <v>16.0</v>
      </c>
      <c r="E38" s="90" t="s">
        <v>294</v>
      </c>
      <c r="F38" s="90" t="s">
        <v>295</v>
      </c>
      <c r="G38" s="139">
        <v>45991.0</v>
      </c>
      <c r="H38" s="90" t="s">
        <v>69</v>
      </c>
      <c r="I38" s="90"/>
    </row>
    <row r="39" ht="13.5" customHeight="1">
      <c r="A39" s="90">
        <v>35.0</v>
      </c>
      <c r="B39" s="139">
        <v>45994.0</v>
      </c>
      <c r="C39" s="93">
        <v>93.0</v>
      </c>
      <c r="D39" s="93">
        <v>13.0</v>
      </c>
      <c r="E39" s="90" t="s">
        <v>294</v>
      </c>
      <c r="F39" s="90" t="s">
        <v>285</v>
      </c>
      <c r="G39" s="139">
        <v>45994.0</v>
      </c>
      <c r="H39" s="143" t="s">
        <v>69</v>
      </c>
      <c r="I39" s="142"/>
    </row>
    <row r="40" ht="13.5" customHeight="1">
      <c r="A40" s="92">
        <v>36.0</v>
      </c>
      <c r="B40" s="144">
        <v>45998.0</v>
      </c>
      <c r="C40" s="145">
        <v>82.0</v>
      </c>
      <c r="D40" s="145">
        <v>12.0</v>
      </c>
      <c r="E40" s="90" t="s">
        <v>294</v>
      </c>
      <c r="F40" s="92" t="s">
        <v>299</v>
      </c>
      <c r="G40" s="144">
        <v>45998.0</v>
      </c>
      <c r="H40" s="92" t="s">
        <v>69</v>
      </c>
      <c r="I40" s="90"/>
    </row>
    <row r="41" ht="13.5" customHeight="1">
      <c r="A41" s="92">
        <v>37.0</v>
      </c>
      <c r="B41" s="144">
        <v>45998.0</v>
      </c>
      <c r="C41" s="145">
        <v>92.0</v>
      </c>
      <c r="D41" s="145">
        <v>29.0</v>
      </c>
      <c r="E41" s="90" t="s">
        <v>294</v>
      </c>
      <c r="F41" s="92" t="s">
        <v>299</v>
      </c>
      <c r="G41" s="144">
        <v>45998.0</v>
      </c>
      <c r="H41" s="92" t="s">
        <v>69</v>
      </c>
      <c r="I41" s="90"/>
    </row>
    <row r="42" ht="13.5" customHeight="1">
      <c r="A42" s="92">
        <v>38.0</v>
      </c>
      <c r="B42" s="144">
        <v>45999.0</v>
      </c>
      <c r="C42" s="145">
        <v>125.0</v>
      </c>
      <c r="D42" s="145">
        <v>17.0</v>
      </c>
      <c r="E42" s="92" t="s">
        <v>294</v>
      </c>
      <c r="F42" s="92" t="s">
        <v>285</v>
      </c>
      <c r="G42" s="144">
        <v>46001.0</v>
      </c>
      <c r="H42" s="92" t="s">
        <v>69</v>
      </c>
      <c r="I42" s="90"/>
    </row>
    <row r="43" ht="13.5" customHeight="1">
      <c r="A43" s="92">
        <v>39.0</v>
      </c>
      <c r="B43" s="144">
        <v>46000.0</v>
      </c>
      <c r="C43" s="145">
        <v>11.0</v>
      </c>
      <c r="D43" s="145">
        <v>33.0</v>
      </c>
      <c r="E43" s="92" t="s">
        <v>294</v>
      </c>
      <c r="F43" s="92" t="s">
        <v>299</v>
      </c>
      <c r="G43" s="144">
        <v>46000.0</v>
      </c>
      <c r="H43" s="92" t="s">
        <v>69</v>
      </c>
      <c r="I43" s="90"/>
    </row>
    <row r="44" ht="13.5" customHeight="1">
      <c r="A44" s="92">
        <v>40.0</v>
      </c>
      <c r="B44" s="144">
        <v>46000.0</v>
      </c>
      <c r="C44" s="145">
        <v>17.0</v>
      </c>
      <c r="D44" s="145">
        <v>27.0</v>
      </c>
      <c r="E44" s="92" t="s">
        <v>294</v>
      </c>
      <c r="F44" s="92" t="s">
        <v>299</v>
      </c>
      <c r="G44" s="144">
        <v>46000.0</v>
      </c>
      <c r="H44" s="92" t="s">
        <v>69</v>
      </c>
      <c r="I44" s="90"/>
    </row>
    <row r="45" ht="13.5" customHeight="1">
      <c r="A45" s="92">
        <v>41.0</v>
      </c>
      <c r="B45" s="144">
        <v>46002.0</v>
      </c>
      <c r="C45" s="145">
        <v>92.0</v>
      </c>
      <c r="D45" s="145">
        <v>29.0</v>
      </c>
      <c r="E45" s="92" t="s">
        <v>294</v>
      </c>
      <c r="F45" s="92" t="s">
        <v>299</v>
      </c>
      <c r="G45" s="144">
        <v>46002.0</v>
      </c>
      <c r="H45" s="92" t="s">
        <v>69</v>
      </c>
      <c r="I45" s="90"/>
    </row>
    <row r="46" ht="13.5" customHeight="1">
      <c r="A46" s="92">
        <v>42.0</v>
      </c>
      <c r="B46" s="144">
        <v>46003.0</v>
      </c>
      <c r="C46" s="145">
        <v>92.0</v>
      </c>
      <c r="D46" s="145">
        <v>33.0</v>
      </c>
      <c r="E46" s="92" t="s">
        <v>294</v>
      </c>
      <c r="F46" s="92" t="s">
        <v>299</v>
      </c>
      <c r="G46" s="144">
        <v>46003.0</v>
      </c>
      <c r="H46" s="92" t="s">
        <v>69</v>
      </c>
      <c r="I46" s="90"/>
    </row>
    <row r="47" ht="13.5" customHeight="1">
      <c r="A47" s="78">
        <v>43.0</v>
      </c>
      <c r="B47" s="144">
        <v>46029.0</v>
      </c>
      <c r="C47" s="78">
        <v>53.0</v>
      </c>
      <c r="D47" s="78">
        <v>33.0</v>
      </c>
      <c r="E47" s="92" t="s">
        <v>294</v>
      </c>
      <c r="F47" s="92" t="s">
        <v>299</v>
      </c>
      <c r="G47" s="144">
        <v>46029.0</v>
      </c>
      <c r="H47" s="78" t="s">
        <v>69</v>
      </c>
      <c r="I47" s="79"/>
    </row>
    <row r="48" ht="13.5" customHeight="1">
      <c r="A48" s="78">
        <v>44.0</v>
      </c>
      <c r="B48" s="144">
        <v>46029.0</v>
      </c>
      <c r="C48" s="78">
        <v>106.0</v>
      </c>
      <c r="D48" s="78">
        <v>29.0</v>
      </c>
      <c r="E48" s="92" t="s">
        <v>294</v>
      </c>
      <c r="F48" s="92" t="s">
        <v>299</v>
      </c>
      <c r="G48" s="144">
        <v>46029.0</v>
      </c>
      <c r="H48" s="78" t="s">
        <v>69</v>
      </c>
      <c r="I48" s="79"/>
    </row>
    <row r="49" ht="13.5" customHeight="1">
      <c r="A49" s="78">
        <v>45.0</v>
      </c>
      <c r="B49" s="144">
        <v>46033.0</v>
      </c>
      <c r="C49" s="78">
        <v>29.0</v>
      </c>
      <c r="D49" s="78">
        <v>8.0</v>
      </c>
      <c r="E49" s="92" t="s">
        <v>294</v>
      </c>
      <c r="F49" s="92" t="s">
        <v>299</v>
      </c>
      <c r="G49" s="144">
        <v>46033.0</v>
      </c>
      <c r="H49" s="78" t="s">
        <v>69</v>
      </c>
      <c r="I49" s="79"/>
    </row>
    <row r="50" ht="13.5" customHeight="1">
      <c r="A50" s="78">
        <v>46.0</v>
      </c>
      <c r="B50" s="146">
        <v>46037.0</v>
      </c>
      <c r="C50" s="78">
        <v>76.0</v>
      </c>
      <c r="D50" s="78">
        <v>16.0</v>
      </c>
      <c r="E50" s="78" t="s">
        <v>300</v>
      </c>
      <c r="F50" s="78" t="s">
        <v>301</v>
      </c>
      <c r="G50" s="146">
        <v>46038.0</v>
      </c>
      <c r="H50" s="78" t="s">
        <v>69</v>
      </c>
      <c r="I50" s="79"/>
    </row>
    <row r="51" ht="13.5" customHeight="1">
      <c r="A51" s="78">
        <v>47.0</v>
      </c>
      <c r="B51" s="146">
        <v>46041.0</v>
      </c>
      <c r="C51" s="78">
        <v>86.0</v>
      </c>
      <c r="D51" s="78">
        <v>29.0</v>
      </c>
      <c r="E51" s="92" t="s">
        <v>294</v>
      </c>
      <c r="F51" s="92" t="s">
        <v>299</v>
      </c>
      <c r="G51" s="146">
        <v>46041.0</v>
      </c>
      <c r="H51" s="78" t="s">
        <v>69</v>
      </c>
      <c r="I51" s="79"/>
    </row>
    <row r="52" ht="13.5" customHeight="1">
      <c r="A52" s="78">
        <v>48.0</v>
      </c>
      <c r="B52" s="146">
        <v>46042.0</v>
      </c>
      <c r="C52" s="78">
        <v>117.0</v>
      </c>
      <c r="D52" s="78">
        <v>35.0</v>
      </c>
      <c r="E52" s="92" t="s">
        <v>294</v>
      </c>
      <c r="F52" s="92" t="s">
        <v>299</v>
      </c>
      <c r="G52" s="146">
        <v>46042.0</v>
      </c>
      <c r="H52" s="78" t="s">
        <v>69</v>
      </c>
      <c r="I52" s="79"/>
    </row>
    <row r="53" ht="13.5" customHeight="1">
      <c r="A53" s="78">
        <v>49.0</v>
      </c>
      <c r="B53" s="146">
        <v>46043.0</v>
      </c>
      <c r="C53" s="78">
        <v>131.0</v>
      </c>
      <c r="D53" s="78">
        <v>24.0</v>
      </c>
      <c r="E53" s="92" t="s">
        <v>294</v>
      </c>
      <c r="F53" s="92" t="s">
        <v>299</v>
      </c>
      <c r="G53" s="146">
        <v>46043.0</v>
      </c>
      <c r="H53" s="78" t="s">
        <v>69</v>
      </c>
      <c r="I53" s="79"/>
    </row>
    <row r="54" ht="13.5" customHeight="1">
      <c r="A54" s="78">
        <v>50.0</v>
      </c>
      <c r="B54" s="146">
        <v>46050.0</v>
      </c>
      <c r="C54" s="78">
        <v>129.0</v>
      </c>
      <c r="D54" s="78">
        <v>4.0</v>
      </c>
      <c r="E54" s="92" t="s">
        <v>294</v>
      </c>
      <c r="F54" s="92" t="s">
        <v>299</v>
      </c>
      <c r="G54" s="146">
        <v>46050.0</v>
      </c>
      <c r="H54" s="78" t="s">
        <v>69</v>
      </c>
      <c r="I54" s="79"/>
    </row>
    <row r="55" ht="13.5" customHeight="1">
      <c r="A55" s="78">
        <v>51.0</v>
      </c>
      <c r="B55" s="146">
        <v>46055.0</v>
      </c>
      <c r="C55" s="78">
        <v>36.0</v>
      </c>
      <c r="D55" s="78">
        <v>27.0</v>
      </c>
      <c r="E55" s="92" t="s">
        <v>294</v>
      </c>
      <c r="F55" s="92" t="s">
        <v>299</v>
      </c>
      <c r="G55" s="146">
        <v>46055.0</v>
      </c>
      <c r="H55" s="78" t="s">
        <v>69</v>
      </c>
      <c r="I55" s="79"/>
    </row>
    <row r="56" ht="13.5" customHeight="1">
      <c r="A56" s="78">
        <v>52.0</v>
      </c>
      <c r="B56" s="146">
        <v>46058.0</v>
      </c>
      <c r="C56" s="78">
        <v>56.0</v>
      </c>
      <c r="D56" s="78">
        <v>14.0</v>
      </c>
      <c r="E56" s="92" t="s">
        <v>294</v>
      </c>
      <c r="F56" s="78" t="s">
        <v>302</v>
      </c>
      <c r="G56" s="146">
        <v>46058.0</v>
      </c>
      <c r="H56" s="78" t="s">
        <v>69</v>
      </c>
      <c r="I56" s="79"/>
    </row>
    <row r="57" ht="13.5" customHeight="1">
      <c r="A57" s="78">
        <v>53.0</v>
      </c>
      <c r="B57" s="146">
        <v>46061.0</v>
      </c>
      <c r="C57" s="78">
        <v>121.0</v>
      </c>
      <c r="D57" s="78">
        <v>33.0</v>
      </c>
      <c r="E57" s="92" t="s">
        <v>294</v>
      </c>
      <c r="F57" s="92" t="s">
        <v>299</v>
      </c>
      <c r="G57" s="146">
        <v>46061.0</v>
      </c>
      <c r="H57" s="78" t="s">
        <v>69</v>
      </c>
      <c r="I57" s="79"/>
    </row>
    <row r="58" ht="13.5" customHeight="1">
      <c r="A58" s="78">
        <v>54.0</v>
      </c>
      <c r="B58" s="146">
        <v>46062.0</v>
      </c>
      <c r="C58" s="78">
        <v>110.0</v>
      </c>
      <c r="D58" s="78">
        <v>5.0</v>
      </c>
      <c r="E58" s="92" t="s">
        <v>303</v>
      </c>
      <c r="F58" s="78" t="s">
        <v>304</v>
      </c>
      <c r="G58" s="146">
        <v>46063.0</v>
      </c>
      <c r="H58" s="78" t="s">
        <v>69</v>
      </c>
      <c r="I58" s="79"/>
    </row>
    <row r="59" ht="13.5" customHeight="1">
      <c r="A59" s="78">
        <v>55.0</v>
      </c>
      <c r="B59" s="146">
        <v>46067.0</v>
      </c>
      <c r="C59" s="78">
        <v>61.0</v>
      </c>
      <c r="D59" s="78">
        <v>5.0</v>
      </c>
      <c r="E59" s="92" t="s">
        <v>294</v>
      </c>
      <c r="F59" s="92" t="s">
        <v>299</v>
      </c>
      <c r="G59" s="146">
        <v>46067.0</v>
      </c>
      <c r="H59" s="78" t="s">
        <v>69</v>
      </c>
      <c r="I59" s="79"/>
    </row>
    <row r="60" ht="13.5" customHeight="1">
      <c r="A60" s="78">
        <v>56.0</v>
      </c>
      <c r="B60" s="147">
        <v>46084.0</v>
      </c>
      <c r="C60" s="77">
        <v>76.0</v>
      </c>
      <c r="D60" s="77">
        <v>25.0</v>
      </c>
      <c r="E60" s="92" t="s">
        <v>294</v>
      </c>
      <c r="F60" s="92" t="s">
        <v>299</v>
      </c>
      <c r="G60" s="147">
        <v>46084.0</v>
      </c>
      <c r="H60" s="78" t="s">
        <v>69</v>
      </c>
      <c r="I60" s="79"/>
    </row>
    <row r="61" ht="13.5" customHeight="1">
      <c r="A61" s="78">
        <v>57.0</v>
      </c>
      <c r="B61" s="147">
        <v>46092.0</v>
      </c>
      <c r="C61" s="77">
        <v>30.0</v>
      </c>
      <c r="D61" s="77">
        <v>17.0</v>
      </c>
      <c r="E61" s="92" t="s">
        <v>294</v>
      </c>
      <c r="F61" s="92" t="s">
        <v>299</v>
      </c>
      <c r="G61" s="148">
        <v>46090.0</v>
      </c>
      <c r="H61" s="77" t="s">
        <v>69</v>
      </c>
      <c r="I61" s="85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ht="13.5" customHeight="1">
      <c r="A62" s="150">
        <v>58.0</v>
      </c>
      <c r="B62" s="147">
        <v>46093.0</v>
      </c>
      <c r="C62" s="150">
        <v>75.0</v>
      </c>
      <c r="D62" s="150">
        <v>26.0</v>
      </c>
      <c r="E62" s="92" t="s">
        <v>294</v>
      </c>
      <c r="F62" s="92" t="s">
        <v>299</v>
      </c>
      <c r="G62" s="147">
        <v>46093.0</v>
      </c>
      <c r="H62" s="77" t="s">
        <v>69</v>
      </c>
      <c r="I62" s="151"/>
    </row>
    <row r="63" ht="13.5" customHeight="1">
      <c r="A63" s="150">
        <v>59.0</v>
      </c>
      <c r="B63" s="147">
        <v>46096.0</v>
      </c>
      <c r="C63" s="150">
        <v>55.0</v>
      </c>
      <c r="D63" s="150">
        <v>7.0</v>
      </c>
      <c r="E63" s="92" t="s">
        <v>294</v>
      </c>
      <c r="F63" s="92" t="s">
        <v>299</v>
      </c>
      <c r="G63" s="147">
        <v>46096.0</v>
      </c>
      <c r="H63" s="77" t="s">
        <v>69</v>
      </c>
      <c r="I63" s="152"/>
    </row>
    <row r="64" ht="13.5" customHeight="1">
      <c r="A64" s="150">
        <v>60.0</v>
      </c>
      <c r="B64" s="147">
        <v>46096.0</v>
      </c>
      <c r="C64" s="150">
        <v>55.0</v>
      </c>
      <c r="D64" s="150">
        <v>10.0</v>
      </c>
      <c r="E64" s="92" t="s">
        <v>294</v>
      </c>
      <c r="F64" s="92" t="s">
        <v>299</v>
      </c>
      <c r="G64" s="147">
        <v>46096.0</v>
      </c>
      <c r="H64" s="77" t="s">
        <v>69</v>
      </c>
      <c r="I64" s="152"/>
    </row>
    <row r="65" ht="13.5" customHeight="1">
      <c r="A65" s="150">
        <v>61.0</v>
      </c>
      <c r="B65" s="147">
        <v>46096.0</v>
      </c>
      <c r="C65" s="150">
        <v>55.0</v>
      </c>
      <c r="D65" s="150">
        <v>15.0</v>
      </c>
      <c r="E65" s="92" t="s">
        <v>294</v>
      </c>
      <c r="F65" s="92" t="s">
        <v>299</v>
      </c>
      <c r="G65" s="147">
        <v>46096.0</v>
      </c>
      <c r="H65" s="77" t="s">
        <v>69</v>
      </c>
      <c r="I65" s="152"/>
    </row>
    <row r="66" ht="13.5" customHeight="1">
      <c r="A66" s="150">
        <v>62.0</v>
      </c>
      <c r="B66" s="147">
        <v>46096.0</v>
      </c>
      <c r="C66" s="150">
        <v>75.0</v>
      </c>
      <c r="D66" s="150">
        <v>26.0</v>
      </c>
      <c r="E66" s="92" t="s">
        <v>294</v>
      </c>
      <c r="F66" s="92" t="s">
        <v>299</v>
      </c>
      <c r="G66" s="147">
        <v>46096.0</v>
      </c>
      <c r="H66" s="77" t="s">
        <v>69</v>
      </c>
      <c r="I66" s="152"/>
    </row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4:$I$38"/>
  <mergeCells count="7">
    <mergeCell ref="A1:C1"/>
    <mergeCell ref="D1:E1"/>
    <mergeCell ref="G1:S1"/>
    <mergeCell ref="A2:C2"/>
    <mergeCell ref="D2:E2"/>
    <mergeCell ref="A3:C3"/>
    <mergeCell ref="D3:E3"/>
  </mergeCells>
  <conditionalFormatting sqref="H1:H46 H55:H260">
    <cfRule type="containsText" dxfId="1" priority="1" operator="containsText" text="Pending">
      <formula>NOT(ISERROR(SEARCH(("Pending"),(H1))))</formula>
    </cfRule>
  </conditionalFormatting>
  <conditionalFormatting sqref="H1:H46 H55:H260">
    <cfRule type="containsText" dxfId="2" priority="2" operator="containsText" text="Done">
      <formula>NOT(ISERROR(SEARCH(("Done"),(H1))))</formula>
    </cfRule>
  </conditionalFormatting>
  <conditionalFormatting sqref="H47:H60">
    <cfRule type="containsText" dxfId="1" priority="3" operator="containsText" text="Pending">
      <formula>NOT(ISERROR(SEARCH(("Pending"),(H47))))</formula>
    </cfRule>
  </conditionalFormatting>
  <conditionalFormatting sqref="H47:H60">
    <cfRule type="containsText" dxfId="2" priority="4" operator="containsText" text="Done">
      <formula>NOT(ISERROR(SEARCH(("Done"),(H47))))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75"/>
    <col customWidth="1" min="2" max="2" width="10.38"/>
    <col customWidth="1" min="3" max="3" width="9.38"/>
    <col customWidth="1" min="4" max="5" width="19.75"/>
    <col customWidth="1" min="6" max="6" width="24.88"/>
    <col customWidth="1" min="7" max="8" width="19.75"/>
    <col customWidth="1" min="9" max="9" width="24.75"/>
    <col customWidth="1" min="10" max="26" width="14.38"/>
  </cols>
  <sheetData>
    <row r="1" ht="13.5" customHeight="1">
      <c r="A1" s="153" t="s">
        <v>284</v>
      </c>
      <c r="B1" s="3"/>
      <c r="C1" s="3"/>
      <c r="D1" s="3"/>
      <c r="E1" s="4"/>
      <c r="F1" s="87">
        <f>F2+F3</f>
        <v>1353</v>
      </c>
      <c r="G1" s="4"/>
      <c r="H1" s="21"/>
      <c r="I1" s="21"/>
    </row>
    <row r="2" ht="13.5" customHeight="1">
      <c r="A2" s="153" t="s">
        <v>69</v>
      </c>
      <c r="B2" s="3"/>
      <c r="C2" s="3"/>
      <c r="D2" s="3"/>
      <c r="E2" s="4"/>
      <c r="F2" s="154">
        <f>COUNTIF(H5:H501947,"Done")</f>
        <v>1345</v>
      </c>
      <c r="G2" s="4"/>
      <c r="H2" s="21"/>
      <c r="I2" s="21"/>
    </row>
    <row r="3" ht="13.5" customHeight="1">
      <c r="A3" s="153" t="s">
        <v>286</v>
      </c>
      <c r="B3" s="3"/>
      <c r="C3" s="3"/>
      <c r="D3" s="3"/>
      <c r="E3" s="4"/>
      <c r="F3" s="154">
        <f>COUNTIF(H5:H501947,"Pending")</f>
        <v>8</v>
      </c>
      <c r="G3" s="4"/>
      <c r="H3" s="21"/>
      <c r="I3" s="21"/>
    </row>
    <row r="4" ht="29.25" customHeight="1">
      <c r="A4" s="155" t="s">
        <v>287</v>
      </c>
      <c r="B4" s="155" t="s">
        <v>218</v>
      </c>
      <c r="C4" s="155" t="s">
        <v>288</v>
      </c>
      <c r="D4" s="155" t="s">
        <v>305</v>
      </c>
      <c r="E4" s="155" t="s">
        <v>306</v>
      </c>
      <c r="F4" s="156" t="s">
        <v>291</v>
      </c>
      <c r="G4" s="155" t="s">
        <v>307</v>
      </c>
      <c r="H4" s="155" t="s">
        <v>122</v>
      </c>
      <c r="I4" s="155" t="s">
        <v>293</v>
      </c>
    </row>
    <row r="5" ht="13.5" customHeight="1">
      <c r="A5" s="90">
        <v>1.0</v>
      </c>
      <c r="B5" s="139">
        <v>45974.0</v>
      </c>
      <c r="C5" s="157">
        <v>4.0</v>
      </c>
      <c r="D5" s="157">
        <v>3.0</v>
      </c>
      <c r="E5" s="157" t="s">
        <v>308</v>
      </c>
      <c r="F5" s="157" t="s">
        <v>309</v>
      </c>
      <c r="G5" s="158">
        <v>45977.0</v>
      </c>
      <c r="H5" s="159" t="s">
        <v>69</v>
      </c>
      <c r="I5" s="90"/>
    </row>
    <row r="6" ht="13.5" customHeight="1">
      <c r="A6" s="90">
        <v>2.0</v>
      </c>
      <c r="B6" s="139">
        <v>45974.0</v>
      </c>
      <c r="C6" s="93">
        <v>7.0</v>
      </c>
      <c r="D6" s="93">
        <v>140.0</v>
      </c>
      <c r="E6" s="157" t="s">
        <v>308</v>
      </c>
      <c r="F6" s="157" t="s">
        <v>309</v>
      </c>
      <c r="G6" s="158">
        <v>45977.0</v>
      </c>
      <c r="H6" s="159" t="s">
        <v>69</v>
      </c>
      <c r="I6" s="90"/>
    </row>
    <row r="7" ht="13.5" customHeight="1">
      <c r="A7" s="90">
        <v>3.0</v>
      </c>
      <c r="B7" s="139">
        <v>45974.0</v>
      </c>
      <c r="C7" s="93">
        <v>7.0</v>
      </c>
      <c r="D7" s="93">
        <v>141.0</v>
      </c>
      <c r="E7" s="157" t="s">
        <v>308</v>
      </c>
      <c r="F7" s="157" t="s">
        <v>309</v>
      </c>
      <c r="G7" s="158">
        <v>45977.0</v>
      </c>
      <c r="H7" s="159" t="s">
        <v>69</v>
      </c>
      <c r="I7" s="90"/>
    </row>
    <row r="8" ht="13.5" customHeight="1">
      <c r="A8" s="90">
        <v>4.0</v>
      </c>
      <c r="B8" s="139">
        <v>45974.0</v>
      </c>
      <c r="C8" s="157">
        <v>20.0</v>
      </c>
      <c r="D8" s="157">
        <v>83.0</v>
      </c>
      <c r="E8" s="157" t="s">
        <v>308</v>
      </c>
      <c r="F8" s="157" t="s">
        <v>309</v>
      </c>
      <c r="G8" s="158">
        <v>45977.0</v>
      </c>
      <c r="H8" s="159" t="s">
        <v>69</v>
      </c>
      <c r="I8" s="90"/>
    </row>
    <row r="9" ht="13.5" customHeight="1">
      <c r="A9" s="90">
        <v>5.0</v>
      </c>
      <c r="B9" s="139">
        <v>45974.0</v>
      </c>
      <c r="C9" s="93">
        <v>22.0</v>
      </c>
      <c r="D9" s="93">
        <v>64.0</v>
      </c>
      <c r="E9" s="157" t="s">
        <v>308</v>
      </c>
      <c r="F9" s="157" t="s">
        <v>309</v>
      </c>
      <c r="G9" s="158">
        <v>45977.0</v>
      </c>
      <c r="H9" s="159" t="s">
        <v>69</v>
      </c>
      <c r="I9" s="90"/>
    </row>
    <row r="10" ht="13.5" customHeight="1">
      <c r="A10" s="90">
        <v>6.0</v>
      </c>
      <c r="B10" s="139">
        <v>45974.0</v>
      </c>
      <c r="C10" s="93">
        <v>33.0</v>
      </c>
      <c r="D10" s="93">
        <v>34.0</v>
      </c>
      <c r="E10" s="157" t="s">
        <v>308</v>
      </c>
      <c r="F10" s="157" t="s">
        <v>309</v>
      </c>
      <c r="G10" s="158">
        <v>45977.0</v>
      </c>
      <c r="H10" s="159" t="s">
        <v>69</v>
      </c>
      <c r="I10" s="90"/>
    </row>
    <row r="11" ht="13.5" customHeight="1">
      <c r="A11" s="90">
        <v>7.0</v>
      </c>
      <c r="B11" s="139">
        <v>45974.0</v>
      </c>
      <c r="C11" s="157">
        <v>38.0</v>
      </c>
      <c r="D11" s="157">
        <v>46.0</v>
      </c>
      <c r="E11" s="157" t="s">
        <v>308</v>
      </c>
      <c r="F11" s="157" t="s">
        <v>309</v>
      </c>
      <c r="G11" s="158">
        <v>45977.0</v>
      </c>
      <c r="H11" s="159" t="s">
        <v>69</v>
      </c>
      <c r="I11" s="90"/>
    </row>
    <row r="12" ht="13.5" customHeight="1">
      <c r="A12" s="90">
        <v>8.0</v>
      </c>
      <c r="B12" s="139">
        <v>45974.0</v>
      </c>
      <c r="C12" s="93">
        <v>41.0</v>
      </c>
      <c r="D12" s="93">
        <v>89.0</v>
      </c>
      <c r="E12" s="157" t="s">
        <v>308</v>
      </c>
      <c r="F12" s="157" t="s">
        <v>309</v>
      </c>
      <c r="G12" s="158">
        <v>45977.0</v>
      </c>
      <c r="H12" s="159" t="s">
        <v>69</v>
      </c>
      <c r="I12" s="90"/>
    </row>
    <row r="13" ht="13.5" customHeight="1">
      <c r="A13" s="90">
        <v>9.0</v>
      </c>
      <c r="B13" s="139">
        <v>45974.0</v>
      </c>
      <c r="C13" s="93">
        <v>47.0</v>
      </c>
      <c r="D13" s="93">
        <v>140.0</v>
      </c>
      <c r="E13" s="157" t="s">
        <v>308</v>
      </c>
      <c r="F13" s="157" t="s">
        <v>309</v>
      </c>
      <c r="G13" s="158">
        <v>45977.0</v>
      </c>
      <c r="H13" s="159" t="s">
        <v>69</v>
      </c>
      <c r="I13" s="90"/>
    </row>
    <row r="14" ht="13.5" customHeight="1">
      <c r="A14" s="90">
        <v>10.0</v>
      </c>
      <c r="B14" s="139">
        <v>45974.0</v>
      </c>
      <c r="C14" s="93">
        <v>47.0</v>
      </c>
      <c r="D14" s="93">
        <v>141.0</v>
      </c>
      <c r="E14" s="93" t="s">
        <v>310</v>
      </c>
      <c r="F14" s="157" t="s">
        <v>309</v>
      </c>
      <c r="G14" s="158">
        <v>45977.0</v>
      </c>
      <c r="H14" s="159" t="s">
        <v>69</v>
      </c>
      <c r="I14" s="90"/>
    </row>
    <row r="15" ht="13.5" customHeight="1">
      <c r="A15" s="90">
        <v>11.0</v>
      </c>
      <c r="B15" s="139">
        <v>45974.0</v>
      </c>
      <c r="C15" s="93">
        <v>47.0</v>
      </c>
      <c r="D15" s="93">
        <v>142.0</v>
      </c>
      <c r="E15" s="157" t="s">
        <v>308</v>
      </c>
      <c r="F15" s="157" t="s">
        <v>309</v>
      </c>
      <c r="G15" s="158">
        <v>45977.0</v>
      </c>
      <c r="H15" s="159" t="s">
        <v>69</v>
      </c>
      <c r="I15" s="90"/>
    </row>
    <row r="16" ht="13.5" customHeight="1">
      <c r="A16" s="90">
        <v>12.0</v>
      </c>
      <c r="B16" s="139">
        <v>45974.0</v>
      </c>
      <c r="C16" s="157">
        <v>56.0</v>
      </c>
      <c r="D16" s="157">
        <v>61.0</v>
      </c>
      <c r="E16" s="157" t="s">
        <v>308</v>
      </c>
      <c r="F16" s="157" t="s">
        <v>309</v>
      </c>
      <c r="G16" s="158">
        <v>45977.0</v>
      </c>
      <c r="H16" s="159" t="s">
        <v>69</v>
      </c>
      <c r="I16" s="90"/>
    </row>
    <row r="17" ht="13.5" customHeight="1">
      <c r="A17" s="90">
        <v>13.0</v>
      </c>
      <c r="B17" s="139">
        <v>45974.0</v>
      </c>
      <c r="C17" s="157">
        <v>56.0</v>
      </c>
      <c r="D17" s="157">
        <v>65.0</v>
      </c>
      <c r="E17" s="157" t="s">
        <v>310</v>
      </c>
      <c r="F17" s="157" t="s">
        <v>309</v>
      </c>
      <c r="G17" s="158">
        <v>45977.0</v>
      </c>
      <c r="H17" s="159" t="s">
        <v>69</v>
      </c>
      <c r="I17" s="90"/>
    </row>
    <row r="18" ht="13.5" customHeight="1">
      <c r="A18" s="90">
        <v>14.0</v>
      </c>
      <c r="B18" s="139">
        <v>45974.0</v>
      </c>
      <c r="C18" s="157">
        <v>56.0</v>
      </c>
      <c r="D18" s="157">
        <v>71.0</v>
      </c>
      <c r="E18" s="157" t="s">
        <v>311</v>
      </c>
      <c r="F18" s="157" t="s">
        <v>312</v>
      </c>
      <c r="G18" s="158">
        <v>45977.0</v>
      </c>
      <c r="H18" s="159" t="s">
        <v>69</v>
      </c>
      <c r="I18" s="90"/>
    </row>
    <row r="19" ht="13.5" customHeight="1">
      <c r="A19" s="90">
        <v>15.0</v>
      </c>
      <c r="B19" s="139">
        <v>45974.0</v>
      </c>
      <c r="C19" s="157">
        <v>56.0</v>
      </c>
      <c r="D19" s="157">
        <v>122.0</v>
      </c>
      <c r="E19" s="157" t="s">
        <v>308</v>
      </c>
      <c r="F19" s="157" t="s">
        <v>309</v>
      </c>
      <c r="G19" s="158">
        <v>45977.0</v>
      </c>
      <c r="H19" s="159" t="s">
        <v>69</v>
      </c>
      <c r="I19" s="90"/>
    </row>
    <row r="20" ht="13.5" customHeight="1">
      <c r="A20" s="90">
        <v>16.0</v>
      </c>
      <c r="B20" s="139">
        <v>45974.0</v>
      </c>
      <c r="C20" s="157">
        <v>56.0</v>
      </c>
      <c r="D20" s="157">
        <v>140.0</v>
      </c>
      <c r="E20" s="157" t="s">
        <v>308</v>
      </c>
      <c r="F20" s="157" t="s">
        <v>309</v>
      </c>
      <c r="G20" s="158">
        <v>45977.0</v>
      </c>
      <c r="H20" s="159" t="s">
        <v>69</v>
      </c>
      <c r="I20" s="90"/>
    </row>
    <row r="21" ht="13.5" customHeight="1">
      <c r="A21" s="90">
        <v>17.0</v>
      </c>
      <c r="B21" s="139">
        <v>45974.0</v>
      </c>
      <c r="C21" s="157">
        <v>56.0</v>
      </c>
      <c r="D21" s="157">
        <v>141.0</v>
      </c>
      <c r="E21" s="157" t="s">
        <v>308</v>
      </c>
      <c r="F21" s="157" t="s">
        <v>309</v>
      </c>
      <c r="G21" s="158">
        <v>45977.0</v>
      </c>
      <c r="H21" s="159" t="s">
        <v>69</v>
      </c>
      <c r="I21" s="90"/>
    </row>
    <row r="22" ht="13.5" customHeight="1">
      <c r="A22" s="90">
        <v>18.0</v>
      </c>
      <c r="B22" s="139">
        <v>45974.0</v>
      </c>
      <c r="C22" s="157">
        <v>56.0</v>
      </c>
      <c r="D22" s="157">
        <v>142.0</v>
      </c>
      <c r="E22" s="157" t="s">
        <v>308</v>
      </c>
      <c r="F22" s="157" t="s">
        <v>309</v>
      </c>
      <c r="G22" s="158">
        <v>45977.0</v>
      </c>
      <c r="H22" s="159" t="s">
        <v>69</v>
      </c>
      <c r="I22" s="90"/>
    </row>
    <row r="23" ht="13.5" customHeight="1">
      <c r="A23" s="90">
        <v>19.0</v>
      </c>
      <c r="B23" s="139">
        <v>45974.0</v>
      </c>
      <c r="C23" s="157">
        <v>56.0</v>
      </c>
      <c r="D23" s="157">
        <v>143.0</v>
      </c>
      <c r="E23" s="157" t="s">
        <v>308</v>
      </c>
      <c r="F23" s="157" t="s">
        <v>309</v>
      </c>
      <c r="G23" s="158">
        <v>45977.0</v>
      </c>
      <c r="H23" s="159" t="s">
        <v>69</v>
      </c>
      <c r="I23" s="90"/>
    </row>
    <row r="24" ht="13.5" customHeight="1">
      <c r="A24" s="90">
        <v>20.0</v>
      </c>
      <c r="B24" s="139">
        <v>45974.0</v>
      </c>
      <c r="C24" s="157">
        <v>56.0</v>
      </c>
      <c r="D24" s="157">
        <v>144.0</v>
      </c>
      <c r="E24" s="157" t="s">
        <v>308</v>
      </c>
      <c r="F24" s="157" t="s">
        <v>309</v>
      </c>
      <c r="G24" s="158">
        <v>45977.0</v>
      </c>
      <c r="H24" s="159" t="s">
        <v>69</v>
      </c>
      <c r="I24" s="90"/>
    </row>
    <row r="25" ht="13.5" customHeight="1">
      <c r="A25" s="90">
        <v>21.0</v>
      </c>
      <c r="B25" s="139">
        <v>45974.0</v>
      </c>
      <c r="C25" s="157">
        <v>56.0</v>
      </c>
      <c r="D25" s="157">
        <v>145.0</v>
      </c>
      <c r="E25" s="157" t="s">
        <v>308</v>
      </c>
      <c r="F25" s="157" t="s">
        <v>309</v>
      </c>
      <c r="G25" s="158">
        <v>45977.0</v>
      </c>
      <c r="H25" s="159" t="s">
        <v>69</v>
      </c>
      <c r="I25" s="90"/>
    </row>
    <row r="26" ht="13.5" customHeight="1">
      <c r="A26" s="90">
        <v>22.0</v>
      </c>
      <c r="B26" s="139">
        <v>45974.0</v>
      </c>
      <c r="C26" s="157">
        <v>56.0</v>
      </c>
      <c r="D26" s="157">
        <v>146.0</v>
      </c>
      <c r="E26" s="157" t="s">
        <v>308</v>
      </c>
      <c r="F26" s="157" t="s">
        <v>309</v>
      </c>
      <c r="G26" s="158">
        <v>45977.0</v>
      </c>
      <c r="H26" s="159" t="s">
        <v>69</v>
      </c>
      <c r="I26" s="90"/>
    </row>
    <row r="27" ht="13.5" customHeight="1">
      <c r="A27" s="90">
        <v>23.0</v>
      </c>
      <c r="B27" s="139">
        <v>45974.0</v>
      </c>
      <c r="C27" s="157">
        <v>56.0</v>
      </c>
      <c r="D27" s="157">
        <v>147.0</v>
      </c>
      <c r="E27" s="157" t="s">
        <v>308</v>
      </c>
      <c r="F27" s="157" t="s">
        <v>309</v>
      </c>
      <c r="G27" s="158">
        <v>45977.0</v>
      </c>
      <c r="H27" s="159" t="s">
        <v>69</v>
      </c>
      <c r="I27" s="90"/>
    </row>
    <row r="28" ht="13.5" customHeight="1">
      <c r="A28" s="90">
        <v>24.0</v>
      </c>
      <c r="B28" s="139">
        <v>45974.0</v>
      </c>
      <c r="C28" s="157">
        <v>56.0</v>
      </c>
      <c r="D28" s="157">
        <v>148.0</v>
      </c>
      <c r="E28" s="157" t="s">
        <v>308</v>
      </c>
      <c r="F28" s="157" t="s">
        <v>309</v>
      </c>
      <c r="G28" s="158">
        <v>45977.0</v>
      </c>
      <c r="H28" s="159" t="s">
        <v>69</v>
      </c>
      <c r="I28" s="90"/>
    </row>
    <row r="29" ht="13.5" customHeight="1">
      <c r="A29" s="90">
        <v>25.0</v>
      </c>
      <c r="B29" s="139">
        <v>45974.0</v>
      </c>
      <c r="C29" s="157">
        <v>56.0</v>
      </c>
      <c r="D29" s="157">
        <v>149.0</v>
      </c>
      <c r="E29" s="157" t="s">
        <v>308</v>
      </c>
      <c r="F29" s="157" t="s">
        <v>309</v>
      </c>
      <c r="G29" s="158">
        <v>45977.0</v>
      </c>
      <c r="H29" s="159" t="s">
        <v>69</v>
      </c>
      <c r="I29" s="90"/>
    </row>
    <row r="30" ht="13.5" customHeight="1">
      <c r="A30" s="90">
        <v>26.0</v>
      </c>
      <c r="B30" s="139">
        <v>45974.0</v>
      </c>
      <c r="C30" s="157">
        <v>56.0</v>
      </c>
      <c r="D30" s="157">
        <v>150.0</v>
      </c>
      <c r="E30" s="157" t="s">
        <v>308</v>
      </c>
      <c r="F30" s="157" t="s">
        <v>309</v>
      </c>
      <c r="G30" s="158">
        <v>45977.0</v>
      </c>
      <c r="H30" s="159" t="s">
        <v>69</v>
      </c>
      <c r="I30" s="90"/>
    </row>
    <row r="31" ht="13.5" customHeight="1">
      <c r="A31" s="90">
        <v>27.0</v>
      </c>
      <c r="B31" s="139">
        <v>45974.0</v>
      </c>
      <c r="C31" s="157">
        <v>56.0</v>
      </c>
      <c r="D31" s="157">
        <v>151.0</v>
      </c>
      <c r="E31" s="157" t="s">
        <v>308</v>
      </c>
      <c r="F31" s="157" t="s">
        <v>309</v>
      </c>
      <c r="G31" s="158">
        <v>45977.0</v>
      </c>
      <c r="H31" s="159" t="s">
        <v>69</v>
      </c>
      <c r="I31" s="90"/>
    </row>
    <row r="32" ht="13.5" customHeight="1">
      <c r="A32" s="90">
        <v>28.0</v>
      </c>
      <c r="B32" s="139">
        <v>45974.0</v>
      </c>
      <c r="C32" s="93">
        <v>75.0</v>
      </c>
      <c r="D32" s="93">
        <v>72.0</v>
      </c>
      <c r="E32" s="157" t="s">
        <v>308</v>
      </c>
      <c r="F32" s="157" t="s">
        <v>309</v>
      </c>
      <c r="G32" s="158">
        <v>45977.0</v>
      </c>
      <c r="H32" s="159" t="s">
        <v>69</v>
      </c>
      <c r="I32" s="90"/>
    </row>
    <row r="33" ht="13.5" customHeight="1">
      <c r="A33" s="90">
        <v>29.0</v>
      </c>
      <c r="B33" s="139">
        <v>45974.0</v>
      </c>
      <c r="C33" s="157">
        <v>83.0</v>
      </c>
      <c r="D33" s="157">
        <v>99.0</v>
      </c>
      <c r="E33" s="157" t="s">
        <v>308</v>
      </c>
      <c r="F33" s="157" t="s">
        <v>309</v>
      </c>
      <c r="G33" s="158">
        <v>45977.0</v>
      </c>
      <c r="H33" s="159" t="s">
        <v>69</v>
      </c>
      <c r="I33" s="90"/>
    </row>
    <row r="34" ht="13.5" customHeight="1">
      <c r="A34" s="90">
        <v>30.0</v>
      </c>
      <c r="B34" s="139">
        <v>45974.0</v>
      </c>
      <c r="C34" s="157">
        <v>85.0</v>
      </c>
      <c r="D34" s="93">
        <v>139.0</v>
      </c>
      <c r="E34" s="157" t="s">
        <v>308</v>
      </c>
      <c r="F34" s="157" t="s">
        <v>309</v>
      </c>
      <c r="G34" s="158">
        <v>45977.0</v>
      </c>
      <c r="H34" s="159" t="s">
        <v>69</v>
      </c>
      <c r="I34" s="90"/>
    </row>
    <row r="35" ht="13.5" customHeight="1">
      <c r="A35" s="90">
        <v>31.0</v>
      </c>
      <c r="B35" s="139">
        <v>45974.0</v>
      </c>
      <c r="C35" s="90">
        <v>98.0</v>
      </c>
      <c r="D35" s="93">
        <v>69.0</v>
      </c>
      <c r="E35" s="157" t="s">
        <v>308</v>
      </c>
      <c r="F35" s="157" t="s">
        <v>309</v>
      </c>
      <c r="G35" s="158">
        <v>45977.0</v>
      </c>
      <c r="H35" s="159" t="s">
        <v>69</v>
      </c>
      <c r="I35" s="90"/>
    </row>
    <row r="36" ht="13.5" customHeight="1">
      <c r="A36" s="90">
        <v>32.0</v>
      </c>
      <c r="B36" s="139">
        <v>45974.0</v>
      </c>
      <c r="C36" s="90">
        <v>104.0</v>
      </c>
      <c r="D36" s="93">
        <v>32.0</v>
      </c>
      <c r="E36" s="157" t="s">
        <v>308</v>
      </c>
      <c r="F36" s="157" t="s">
        <v>309</v>
      </c>
      <c r="G36" s="158">
        <v>45977.0</v>
      </c>
      <c r="H36" s="159" t="s">
        <v>69</v>
      </c>
      <c r="I36" s="90"/>
    </row>
    <row r="37" ht="13.5" customHeight="1">
      <c r="A37" s="90">
        <v>33.0</v>
      </c>
      <c r="B37" s="139">
        <v>45974.0</v>
      </c>
      <c r="C37" s="90">
        <v>113.0</v>
      </c>
      <c r="D37" s="93">
        <v>136.0</v>
      </c>
      <c r="E37" s="157" t="s">
        <v>308</v>
      </c>
      <c r="F37" s="157" t="s">
        <v>309</v>
      </c>
      <c r="G37" s="158">
        <v>45977.0</v>
      </c>
      <c r="H37" s="159" t="s">
        <v>69</v>
      </c>
      <c r="I37" s="90"/>
    </row>
    <row r="38" ht="13.5" customHeight="1">
      <c r="A38" s="90">
        <v>34.0</v>
      </c>
      <c r="B38" s="139">
        <v>45974.0</v>
      </c>
      <c r="C38" s="90">
        <v>118.0</v>
      </c>
      <c r="D38" s="93">
        <v>89.0</v>
      </c>
      <c r="E38" s="157" t="s">
        <v>308</v>
      </c>
      <c r="F38" s="157" t="s">
        <v>309</v>
      </c>
      <c r="G38" s="158">
        <v>45977.0</v>
      </c>
      <c r="H38" s="159" t="s">
        <v>69</v>
      </c>
      <c r="I38" s="90"/>
    </row>
    <row r="39" ht="13.5" customHeight="1">
      <c r="A39" s="90">
        <v>35.0</v>
      </c>
      <c r="B39" s="139">
        <v>45974.0</v>
      </c>
      <c r="C39" s="90">
        <v>119.0</v>
      </c>
      <c r="D39" s="93">
        <v>126.0</v>
      </c>
      <c r="E39" s="157" t="s">
        <v>308</v>
      </c>
      <c r="F39" s="157" t="s">
        <v>309</v>
      </c>
      <c r="G39" s="158">
        <v>45977.0</v>
      </c>
      <c r="H39" s="159" t="s">
        <v>69</v>
      </c>
      <c r="I39" s="90"/>
    </row>
    <row r="40" ht="13.5" customHeight="1">
      <c r="A40" s="90">
        <v>36.0</v>
      </c>
      <c r="B40" s="139">
        <v>45975.0</v>
      </c>
      <c r="C40" s="90">
        <v>4.0</v>
      </c>
      <c r="D40" s="93">
        <v>26.0</v>
      </c>
      <c r="E40" s="93" t="s">
        <v>310</v>
      </c>
      <c r="F40" s="157" t="s">
        <v>309</v>
      </c>
      <c r="G40" s="158">
        <v>45977.0</v>
      </c>
      <c r="H40" s="159" t="s">
        <v>69</v>
      </c>
      <c r="I40" s="90"/>
    </row>
    <row r="41" ht="13.5" customHeight="1">
      <c r="A41" s="90">
        <v>37.0</v>
      </c>
      <c r="B41" s="139">
        <v>45975.0</v>
      </c>
      <c r="C41" s="90">
        <v>4.0</v>
      </c>
      <c r="D41" s="93">
        <v>61.0</v>
      </c>
      <c r="E41" s="93" t="s">
        <v>310</v>
      </c>
      <c r="F41" s="157" t="s">
        <v>309</v>
      </c>
      <c r="G41" s="158">
        <v>45977.0</v>
      </c>
      <c r="H41" s="159" t="s">
        <v>69</v>
      </c>
      <c r="I41" s="90"/>
    </row>
    <row r="42" ht="13.5" customHeight="1">
      <c r="A42" s="90">
        <v>38.0</v>
      </c>
      <c r="B42" s="139">
        <v>45975.0</v>
      </c>
      <c r="C42" s="90">
        <v>8.0</v>
      </c>
      <c r="D42" s="93">
        <v>8.0</v>
      </c>
      <c r="E42" s="93" t="s">
        <v>310</v>
      </c>
      <c r="F42" s="157" t="s">
        <v>309</v>
      </c>
      <c r="G42" s="158">
        <v>45977.0</v>
      </c>
      <c r="H42" s="159" t="s">
        <v>69</v>
      </c>
      <c r="I42" s="90"/>
    </row>
    <row r="43" ht="13.5" customHeight="1">
      <c r="A43" s="90">
        <v>39.0</v>
      </c>
      <c r="B43" s="139">
        <v>45975.0</v>
      </c>
      <c r="C43" s="90">
        <v>13.0</v>
      </c>
      <c r="D43" s="93">
        <v>46.0</v>
      </c>
      <c r="E43" s="93" t="s">
        <v>310</v>
      </c>
      <c r="F43" s="157" t="s">
        <v>309</v>
      </c>
      <c r="G43" s="139">
        <v>45978.0</v>
      </c>
      <c r="H43" s="159" t="s">
        <v>69</v>
      </c>
      <c r="I43" s="90"/>
    </row>
    <row r="44" ht="13.5" customHeight="1">
      <c r="A44" s="90">
        <v>40.0</v>
      </c>
      <c r="B44" s="139">
        <v>45975.0</v>
      </c>
      <c r="C44" s="90">
        <v>13.0</v>
      </c>
      <c r="D44" s="93">
        <v>60.0</v>
      </c>
      <c r="E44" s="93" t="s">
        <v>310</v>
      </c>
      <c r="F44" s="157" t="s">
        <v>309</v>
      </c>
      <c r="G44" s="139">
        <v>45978.0</v>
      </c>
      <c r="H44" s="159" t="s">
        <v>69</v>
      </c>
      <c r="I44" s="90"/>
    </row>
    <row r="45" ht="13.5" customHeight="1">
      <c r="A45" s="90">
        <v>41.0</v>
      </c>
      <c r="B45" s="139">
        <v>45975.0</v>
      </c>
      <c r="C45" s="90">
        <v>37.0</v>
      </c>
      <c r="D45" s="93">
        <v>88.0</v>
      </c>
      <c r="E45" s="157" t="s">
        <v>311</v>
      </c>
      <c r="F45" s="157" t="s">
        <v>312</v>
      </c>
      <c r="G45" s="139">
        <v>45978.0</v>
      </c>
      <c r="H45" s="159" t="s">
        <v>69</v>
      </c>
      <c r="I45" s="90"/>
    </row>
    <row r="46" ht="13.5" customHeight="1">
      <c r="A46" s="90">
        <v>42.0</v>
      </c>
      <c r="B46" s="139">
        <v>45975.0</v>
      </c>
      <c r="C46" s="90">
        <v>37.0</v>
      </c>
      <c r="D46" s="93">
        <v>92.0</v>
      </c>
      <c r="E46" s="157" t="s">
        <v>311</v>
      </c>
      <c r="F46" s="157" t="s">
        <v>312</v>
      </c>
      <c r="G46" s="139">
        <v>45978.0</v>
      </c>
      <c r="H46" s="159" t="s">
        <v>69</v>
      </c>
      <c r="I46" s="90"/>
    </row>
    <row r="47" ht="13.5" customHeight="1">
      <c r="A47" s="90">
        <v>43.0</v>
      </c>
      <c r="B47" s="139">
        <v>45975.0</v>
      </c>
      <c r="C47" s="90">
        <v>38.0</v>
      </c>
      <c r="D47" s="93">
        <v>7.0</v>
      </c>
      <c r="E47" s="93" t="s">
        <v>310</v>
      </c>
      <c r="F47" s="157" t="s">
        <v>309</v>
      </c>
      <c r="G47" s="139">
        <v>45978.0</v>
      </c>
      <c r="H47" s="159" t="s">
        <v>69</v>
      </c>
      <c r="I47" s="90"/>
    </row>
    <row r="48" ht="13.5" customHeight="1">
      <c r="A48" s="90">
        <v>44.0</v>
      </c>
      <c r="B48" s="139">
        <v>45975.0</v>
      </c>
      <c r="C48" s="90">
        <v>38.0</v>
      </c>
      <c r="D48" s="93">
        <v>46.0</v>
      </c>
      <c r="E48" s="157" t="s">
        <v>311</v>
      </c>
      <c r="F48" s="157" t="s">
        <v>312</v>
      </c>
      <c r="G48" s="139">
        <v>45978.0</v>
      </c>
      <c r="H48" s="159" t="s">
        <v>69</v>
      </c>
      <c r="I48" s="90"/>
    </row>
    <row r="49" ht="13.5" customHeight="1">
      <c r="A49" s="90">
        <v>45.0</v>
      </c>
      <c r="B49" s="139">
        <v>45975.0</v>
      </c>
      <c r="C49" s="90">
        <v>42.0</v>
      </c>
      <c r="D49" s="93">
        <v>38.0</v>
      </c>
      <c r="E49" s="157" t="s">
        <v>311</v>
      </c>
      <c r="F49" s="157" t="s">
        <v>312</v>
      </c>
      <c r="G49" s="139">
        <v>45978.0</v>
      </c>
      <c r="H49" s="159" t="s">
        <v>69</v>
      </c>
      <c r="I49" s="90"/>
    </row>
    <row r="50" ht="13.5" customHeight="1">
      <c r="A50" s="90">
        <v>46.0</v>
      </c>
      <c r="B50" s="139">
        <v>45975.0</v>
      </c>
      <c r="C50" s="90">
        <v>42.0</v>
      </c>
      <c r="D50" s="93">
        <v>97.0</v>
      </c>
      <c r="E50" s="157" t="s">
        <v>311</v>
      </c>
      <c r="F50" s="157" t="s">
        <v>312</v>
      </c>
      <c r="G50" s="139">
        <v>45978.0</v>
      </c>
      <c r="H50" s="159" t="s">
        <v>69</v>
      </c>
      <c r="I50" s="90"/>
    </row>
    <row r="51" ht="13.5" customHeight="1">
      <c r="A51" s="90">
        <v>47.0</v>
      </c>
      <c r="B51" s="139">
        <v>45975.0</v>
      </c>
      <c r="C51" s="90">
        <v>44.0</v>
      </c>
      <c r="D51" s="93">
        <v>12.0</v>
      </c>
      <c r="E51" s="157" t="s">
        <v>311</v>
      </c>
      <c r="F51" s="157" t="s">
        <v>312</v>
      </c>
      <c r="G51" s="139">
        <v>45978.0</v>
      </c>
      <c r="H51" s="159" t="s">
        <v>69</v>
      </c>
      <c r="I51" s="90"/>
    </row>
    <row r="52" ht="13.5" customHeight="1">
      <c r="A52" s="90">
        <v>48.0</v>
      </c>
      <c r="B52" s="139">
        <v>45975.0</v>
      </c>
      <c r="C52" s="90">
        <v>47.0</v>
      </c>
      <c r="D52" s="93">
        <v>14.0</v>
      </c>
      <c r="E52" s="157" t="s">
        <v>311</v>
      </c>
      <c r="F52" s="157" t="s">
        <v>312</v>
      </c>
      <c r="G52" s="139">
        <v>45978.0</v>
      </c>
      <c r="H52" s="159" t="s">
        <v>69</v>
      </c>
      <c r="I52" s="90"/>
    </row>
    <row r="53" ht="13.5" customHeight="1">
      <c r="A53" s="90">
        <v>49.0</v>
      </c>
      <c r="B53" s="139">
        <v>45975.0</v>
      </c>
      <c r="C53" s="90">
        <v>48.0</v>
      </c>
      <c r="D53" s="93">
        <v>141.0</v>
      </c>
      <c r="E53" s="93" t="s">
        <v>310</v>
      </c>
      <c r="F53" s="157" t="s">
        <v>309</v>
      </c>
      <c r="G53" s="139">
        <v>45978.0</v>
      </c>
      <c r="H53" s="159" t="s">
        <v>69</v>
      </c>
      <c r="I53" s="90"/>
    </row>
    <row r="54" ht="13.5" customHeight="1">
      <c r="A54" s="90">
        <v>50.0</v>
      </c>
      <c r="B54" s="139">
        <v>45975.0</v>
      </c>
      <c r="C54" s="90">
        <v>48.0</v>
      </c>
      <c r="D54" s="93">
        <v>22.0</v>
      </c>
      <c r="E54" s="157" t="s">
        <v>311</v>
      </c>
      <c r="F54" s="157" t="s">
        <v>312</v>
      </c>
      <c r="G54" s="139">
        <v>45978.0</v>
      </c>
      <c r="H54" s="159" t="s">
        <v>69</v>
      </c>
      <c r="I54" s="90"/>
    </row>
    <row r="55" ht="13.5" customHeight="1">
      <c r="A55" s="90">
        <v>51.0</v>
      </c>
      <c r="B55" s="139">
        <v>45975.0</v>
      </c>
      <c r="C55" s="90">
        <v>53.0</v>
      </c>
      <c r="D55" s="93">
        <v>41.0</v>
      </c>
      <c r="E55" s="157" t="s">
        <v>311</v>
      </c>
      <c r="F55" s="157" t="s">
        <v>312</v>
      </c>
      <c r="G55" s="139">
        <v>45978.0</v>
      </c>
      <c r="H55" s="159" t="s">
        <v>69</v>
      </c>
      <c r="I55" s="90"/>
    </row>
    <row r="56" ht="13.5" customHeight="1">
      <c r="A56" s="90">
        <v>52.0</v>
      </c>
      <c r="B56" s="139">
        <v>45975.0</v>
      </c>
      <c r="C56" s="90">
        <v>56.0</v>
      </c>
      <c r="D56" s="93">
        <v>61.0</v>
      </c>
      <c r="E56" s="157" t="s">
        <v>311</v>
      </c>
      <c r="F56" s="157" t="s">
        <v>312</v>
      </c>
      <c r="G56" s="139">
        <v>45978.0</v>
      </c>
      <c r="H56" s="159" t="s">
        <v>69</v>
      </c>
      <c r="I56" s="90"/>
    </row>
    <row r="57" ht="13.5" customHeight="1">
      <c r="A57" s="90">
        <v>53.0</v>
      </c>
      <c r="B57" s="139">
        <v>45975.0</v>
      </c>
      <c r="C57" s="90">
        <v>56.0</v>
      </c>
      <c r="D57" s="93">
        <v>73.0</v>
      </c>
      <c r="E57" s="157" t="s">
        <v>311</v>
      </c>
      <c r="F57" s="157" t="s">
        <v>312</v>
      </c>
      <c r="G57" s="139">
        <v>45978.0</v>
      </c>
      <c r="H57" s="159" t="s">
        <v>69</v>
      </c>
      <c r="I57" s="90"/>
    </row>
    <row r="58" ht="13.5" customHeight="1">
      <c r="A58" s="90">
        <v>54.0</v>
      </c>
      <c r="B58" s="139">
        <v>45975.0</v>
      </c>
      <c r="C58" s="90">
        <v>56.0</v>
      </c>
      <c r="D58" s="93">
        <v>131.0</v>
      </c>
      <c r="E58" s="157" t="s">
        <v>311</v>
      </c>
      <c r="F58" s="157" t="s">
        <v>312</v>
      </c>
      <c r="G58" s="139">
        <v>45978.0</v>
      </c>
      <c r="H58" s="159" t="s">
        <v>69</v>
      </c>
      <c r="I58" s="90"/>
    </row>
    <row r="59" ht="13.5" customHeight="1">
      <c r="A59" s="90">
        <v>55.0</v>
      </c>
      <c r="B59" s="139">
        <v>45975.0</v>
      </c>
      <c r="C59" s="90">
        <v>59.0</v>
      </c>
      <c r="D59" s="93">
        <v>109.0</v>
      </c>
      <c r="E59" s="157" t="s">
        <v>311</v>
      </c>
      <c r="F59" s="157" t="s">
        <v>312</v>
      </c>
      <c r="G59" s="139">
        <v>45978.0</v>
      </c>
      <c r="H59" s="159" t="s">
        <v>69</v>
      </c>
      <c r="I59" s="90"/>
    </row>
    <row r="60" ht="13.5" customHeight="1">
      <c r="A60" s="90">
        <v>56.0</v>
      </c>
      <c r="B60" s="139">
        <v>45975.0</v>
      </c>
      <c r="C60" s="90">
        <v>60.0</v>
      </c>
      <c r="D60" s="93">
        <v>41.0</v>
      </c>
      <c r="E60" s="157" t="s">
        <v>311</v>
      </c>
      <c r="F60" s="157" t="s">
        <v>312</v>
      </c>
      <c r="G60" s="139">
        <v>45978.0</v>
      </c>
      <c r="H60" s="159" t="s">
        <v>69</v>
      </c>
      <c r="I60" s="90"/>
    </row>
    <row r="61" ht="13.5" customHeight="1">
      <c r="A61" s="90">
        <v>57.0</v>
      </c>
      <c r="B61" s="139">
        <v>45975.0</v>
      </c>
      <c r="C61" s="90">
        <v>79.0</v>
      </c>
      <c r="D61" s="93">
        <v>61.0</v>
      </c>
      <c r="E61" s="93" t="s">
        <v>310</v>
      </c>
      <c r="F61" s="157" t="s">
        <v>309</v>
      </c>
      <c r="G61" s="139">
        <v>45978.0</v>
      </c>
      <c r="H61" s="159" t="s">
        <v>69</v>
      </c>
      <c r="I61" s="90"/>
    </row>
    <row r="62" ht="13.5" customHeight="1">
      <c r="A62" s="90">
        <v>58.0</v>
      </c>
      <c r="B62" s="139">
        <v>45975.0</v>
      </c>
      <c r="C62" s="90">
        <v>80.0</v>
      </c>
      <c r="D62" s="93">
        <v>52.0</v>
      </c>
      <c r="E62" s="93" t="s">
        <v>310</v>
      </c>
      <c r="F62" s="157" t="s">
        <v>309</v>
      </c>
      <c r="G62" s="139">
        <v>45978.0</v>
      </c>
      <c r="H62" s="159" t="s">
        <v>69</v>
      </c>
      <c r="I62" s="90"/>
    </row>
    <row r="63" ht="13.5" customHeight="1">
      <c r="A63" s="90">
        <v>59.0</v>
      </c>
      <c r="B63" s="139">
        <v>45975.0</v>
      </c>
      <c r="C63" s="90">
        <v>86.0</v>
      </c>
      <c r="D63" s="93">
        <v>104.0</v>
      </c>
      <c r="E63" s="157" t="s">
        <v>311</v>
      </c>
      <c r="F63" s="157" t="s">
        <v>312</v>
      </c>
      <c r="G63" s="139">
        <v>45978.0</v>
      </c>
      <c r="H63" s="159" t="s">
        <v>69</v>
      </c>
      <c r="I63" s="90"/>
    </row>
    <row r="64" ht="13.5" customHeight="1">
      <c r="A64" s="90">
        <v>60.0</v>
      </c>
      <c r="B64" s="139">
        <v>45975.0</v>
      </c>
      <c r="C64" s="90">
        <v>94.0</v>
      </c>
      <c r="D64" s="93">
        <v>129.0</v>
      </c>
      <c r="E64" s="93" t="s">
        <v>310</v>
      </c>
      <c r="F64" s="157" t="s">
        <v>309</v>
      </c>
      <c r="G64" s="139">
        <v>45978.0</v>
      </c>
      <c r="H64" s="159" t="s">
        <v>69</v>
      </c>
      <c r="I64" s="90"/>
    </row>
    <row r="65" ht="13.5" customHeight="1">
      <c r="A65" s="90">
        <v>61.0</v>
      </c>
      <c r="B65" s="139">
        <v>45975.0</v>
      </c>
      <c r="C65" s="90">
        <v>107.0</v>
      </c>
      <c r="D65" s="93">
        <v>116.0</v>
      </c>
      <c r="E65" s="93" t="s">
        <v>310</v>
      </c>
      <c r="F65" s="157" t="s">
        <v>309</v>
      </c>
      <c r="G65" s="139">
        <v>45978.0</v>
      </c>
      <c r="H65" s="159" t="s">
        <v>69</v>
      </c>
      <c r="I65" s="90"/>
    </row>
    <row r="66" ht="13.5" customHeight="1">
      <c r="A66" s="90">
        <v>62.0</v>
      </c>
      <c r="B66" s="139">
        <v>45975.0</v>
      </c>
      <c r="C66" s="90">
        <v>117.0</v>
      </c>
      <c r="D66" s="93">
        <v>121.0</v>
      </c>
      <c r="E66" s="93" t="s">
        <v>310</v>
      </c>
      <c r="F66" s="157" t="s">
        <v>309</v>
      </c>
      <c r="G66" s="139">
        <v>45978.0</v>
      </c>
      <c r="H66" s="159" t="s">
        <v>69</v>
      </c>
      <c r="I66" s="90"/>
    </row>
    <row r="67" ht="13.5" customHeight="1">
      <c r="A67" s="90">
        <v>63.0</v>
      </c>
      <c r="B67" s="139">
        <v>45975.0</v>
      </c>
      <c r="C67" s="90">
        <v>129.0</v>
      </c>
      <c r="D67" s="93">
        <v>48.0</v>
      </c>
      <c r="E67" s="93" t="s">
        <v>310</v>
      </c>
      <c r="F67" s="157" t="s">
        <v>309</v>
      </c>
      <c r="G67" s="139">
        <v>45978.0</v>
      </c>
      <c r="H67" s="159" t="s">
        <v>69</v>
      </c>
      <c r="I67" s="90"/>
    </row>
    <row r="68" ht="13.5" customHeight="1">
      <c r="A68" s="90">
        <v>64.0</v>
      </c>
      <c r="B68" s="139">
        <v>45975.0</v>
      </c>
      <c r="C68" s="90">
        <v>129.0</v>
      </c>
      <c r="D68" s="93">
        <v>28.0</v>
      </c>
      <c r="E68" s="93" t="s">
        <v>310</v>
      </c>
      <c r="F68" s="157" t="s">
        <v>309</v>
      </c>
      <c r="G68" s="139">
        <v>45978.0</v>
      </c>
      <c r="H68" s="159" t="s">
        <v>69</v>
      </c>
      <c r="I68" s="90"/>
    </row>
    <row r="69" ht="13.5" customHeight="1">
      <c r="A69" s="90">
        <v>65.0</v>
      </c>
      <c r="B69" s="139">
        <v>45975.0</v>
      </c>
      <c r="C69" s="90">
        <v>131.0</v>
      </c>
      <c r="D69" s="93">
        <v>109.0</v>
      </c>
      <c r="E69" s="93" t="s">
        <v>310</v>
      </c>
      <c r="F69" s="157" t="s">
        <v>309</v>
      </c>
      <c r="G69" s="139">
        <v>45978.0</v>
      </c>
      <c r="H69" s="159" t="s">
        <v>69</v>
      </c>
      <c r="I69" s="90"/>
    </row>
    <row r="70" ht="13.5" customHeight="1">
      <c r="A70" s="90">
        <v>66.0</v>
      </c>
      <c r="B70" s="139">
        <v>45976.0</v>
      </c>
      <c r="C70" s="90">
        <v>4.0</v>
      </c>
      <c r="D70" s="93">
        <v>26.0</v>
      </c>
      <c r="E70" s="93" t="s">
        <v>310</v>
      </c>
      <c r="F70" s="157" t="s">
        <v>309</v>
      </c>
      <c r="G70" s="139">
        <v>45978.0</v>
      </c>
      <c r="H70" s="159" t="s">
        <v>69</v>
      </c>
      <c r="I70" s="90"/>
    </row>
    <row r="71" ht="13.5" customHeight="1">
      <c r="A71" s="90">
        <v>67.0</v>
      </c>
      <c r="B71" s="139">
        <v>45976.0</v>
      </c>
      <c r="C71" s="90">
        <v>4.0</v>
      </c>
      <c r="D71" s="93">
        <v>61.0</v>
      </c>
      <c r="E71" s="93" t="s">
        <v>310</v>
      </c>
      <c r="F71" s="157" t="s">
        <v>309</v>
      </c>
      <c r="G71" s="139">
        <v>45978.0</v>
      </c>
      <c r="H71" s="159" t="s">
        <v>69</v>
      </c>
      <c r="I71" s="90"/>
    </row>
    <row r="72" ht="13.5" customHeight="1">
      <c r="A72" s="90">
        <v>68.0</v>
      </c>
      <c r="B72" s="139">
        <v>45976.0</v>
      </c>
      <c r="C72" s="90">
        <v>20.0</v>
      </c>
      <c r="D72" s="93">
        <v>102.0</v>
      </c>
      <c r="E72" s="157" t="s">
        <v>311</v>
      </c>
      <c r="F72" s="157" t="s">
        <v>312</v>
      </c>
      <c r="G72" s="139">
        <v>45978.0</v>
      </c>
      <c r="H72" s="159" t="s">
        <v>69</v>
      </c>
      <c r="I72" s="90"/>
    </row>
    <row r="73" ht="13.5" customHeight="1">
      <c r="A73" s="90">
        <v>69.0</v>
      </c>
      <c r="B73" s="139">
        <v>45976.0</v>
      </c>
      <c r="C73" s="90">
        <v>38.0</v>
      </c>
      <c r="D73" s="93">
        <v>7.0</v>
      </c>
      <c r="E73" s="93" t="s">
        <v>310</v>
      </c>
      <c r="F73" s="157" t="s">
        <v>309</v>
      </c>
      <c r="G73" s="139">
        <v>45978.0</v>
      </c>
      <c r="H73" s="159" t="s">
        <v>69</v>
      </c>
      <c r="I73" s="90"/>
    </row>
    <row r="74" ht="13.5" customHeight="1">
      <c r="A74" s="90">
        <v>70.0</v>
      </c>
      <c r="B74" s="139">
        <v>45976.0</v>
      </c>
      <c r="C74" s="90">
        <v>38.0</v>
      </c>
      <c r="D74" s="93">
        <v>46.0</v>
      </c>
      <c r="E74" s="157" t="s">
        <v>311</v>
      </c>
      <c r="F74" s="157" t="s">
        <v>312</v>
      </c>
      <c r="G74" s="139">
        <v>45978.0</v>
      </c>
      <c r="H74" s="159" t="s">
        <v>69</v>
      </c>
      <c r="I74" s="90"/>
    </row>
    <row r="75" ht="13.5" customHeight="1">
      <c r="A75" s="90">
        <v>71.0</v>
      </c>
      <c r="B75" s="139">
        <v>45976.0</v>
      </c>
      <c r="C75" s="90">
        <v>42.0</v>
      </c>
      <c r="D75" s="93">
        <v>38.0</v>
      </c>
      <c r="E75" s="157" t="s">
        <v>311</v>
      </c>
      <c r="F75" s="157" t="s">
        <v>312</v>
      </c>
      <c r="G75" s="139">
        <v>45978.0</v>
      </c>
      <c r="H75" s="159" t="s">
        <v>69</v>
      </c>
      <c r="I75" s="90"/>
    </row>
    <row r="76" ht="13.5" customHeight="1">
      <c r="A76" s="90">
        <v>72.0</v>
      </c>
      <c r="B76" s="139">
        <v>45976.0</v>
      </c>
      <c r="C76" s="90">
        <v>42.0</v>
      </c>
      <c r="D76" s="93">
        <v>97.0</v>
      </c>
      <c r="E76" s="157" t="s">
        <v>311</v>
      </c>
      <c r="F76" s="157" t="s">
        <v>312</v>
      </c>
      <c r="G76" s="139">
        <v>45978.0</v>
      </c>
      <c r="H76" s="159" t="s">
        <v>69</v>
      </c>
      <c r="I76" s="90"/>
    </row>
    <row r="77" ht="13.5" customHeight="1">
      <c r="A77" s="90">
        <v>73.0</v>
      </c>
      <c r="B77" s="139">
        <v>45976.0</v>
      </c>
      <c r="C77" s="90">
        <v>43.0</v>
      </c>
      <c r="D77" s="93">
        <v>78.0</v>
      </c>
      <c r="E77" s="93" t="s">
        <v>310</v>
      </c>
      <c r="F77" s="157" t="s">
        <v>309</v>
      </c>
      <c r="G77" s="139">
        <v>45978.0</v>
      </c>
      <c r="H77" s="159" t="s">
        <v>69</v>
      </c>
      <c r="I77" s="90"/>
    </row>
    <row r="78" ht="13.5" customHeight="1">
      <c r="A78" s="90">
        <v>74.0</v>
      </c>
      <c r="B78" s="139">
        <v>45976.0</v>
      </c>
      <c r="C78" s="90">
        <v>44.0</v>
      </c>
      <c r="D78" s="93">
        <v>12.0</v>
      </c>
      <c r="E78" s="157" t="s">
        <v>311</v>
      </c>
      <c r="F78" s="157" t="s">
        <v>312</v>
      </c>
      <c r="G78" s="139">
        <v>45978.0</v>
      </c>
      <c r="H78" s="159" t="s">
        <v>69</v>
      </c>
      <c r="I78" s="90"/>
    </row>
    <row r="79" ht="13.5" customHeight="1">
      <c r="A79" s="90">
        <v>75.0</v>
      </c>
      <c r="B79" s="139">
        <v>45976.0</v>
      </c>
      <c r="C79" s="90">
        <v>47.0</v>
      </c>
      <c r="D79" s="93">
        <v>14.0</v>
      </c>
      <c r="E79" s="157" t="s">
        <v>311</v>
      </c>
      <c r="F79" s="157" t="s">
        <v>312</v>
      </c>
      <c r="G79" s="139">
        <v>45978.0</v>
      </c>
      <c r="H79" s="159" t="s">
        <v>69</v>
      </c>
      <c r="I79" s="90"/>
    </row>
    <row r="80" ht="13.5" customHeight="1">
      <c r="A80" s="90">
        <v>76.0</v>
      </c>
      <c r="B80" s="139">
        <v>45976.0</v>
      </c>
      <c r="C80" s="90">
        <v>47.0</v>
      </c>
      <c r="D80" s="93">
        <v>141.0</v>
      </c>
      <c r="E80" s="93" t="s">
        <v>310</v>
      </c>
      <c r="F80" s="157" t="s">
        <v>309</v>
      </c>
      <c r="G80" s="139">
        <v>45978.0</v>
      </c>
      <c r="H80" s="159" t="s">
        <v>69</v>
      </c>
      <c r="I80" s="90"/>
    </row>
    <row r="81" ht="13.5" customHeight="1">
      <c r="A81" s="90">
        <v>77.0</v>
      </c>
      <c r="B81" s="139">
        <v>45976.0</v>
      </c>
      <c r="C81" s="90">
        <v>48.0</v>
      </c>
      <c r="D81" s="93">
        <v>22.0</v>
      </c>
      <c r="E81" s="157" t="s">
        <v>311</v>
      </c>
      <c r="F81" s="157" t="s">
        <v>312</v>
      </c>
      <c r="G81" s="139">
        <v>45978.0</v>
      </c>
      <c r="H81" s="159" t="s">
        <v>69</v>
      </c>
      <c r="I81" s="90"/>
    </row>
    <row r="82" ht="13.5" customHeight="1">
      <c r="A82" s="90">
        <v>78.0</v>
      </c>
      <c r="B82" s="139">
        <v>45976.0</v>
      </c>
      <c r="C82" s="90">
        <v>53.0</v>
      </c>
      <c r="D82" s="93">
        <v>41.0</v>
      </c>
      <c r="E82" s="157" t="s">
        <v>311</v>
      </c>
      <c r="F82" s="157" t="s">
        <v>312</v>
      </c>
      <c r="G82" s="139">
        <v>45978.0</v>
      </c>
      <c r="H82" s="159" t="s">
        <v>69</v>
      </c>
      <c r="I82" s="90"/>
    </row>
    <row r="83" ht="13.5" customHeight="1">
      <c r="A83" s="90">
        <v>79.0</v>
      </c>
      <c r="B83" s="139">
        <v>45976.0</v>
      </c>
      <c r="C83" s="90">
        <v>56.0</v>
      </c>
      <c r="D83" s="93">
        <v>61.0</v>
      </c>
      <c r="E83" s="157" t="s">
        <v>311</v>
      </c>
      <c r="F83" s="157" t="s">
        <v>312</v>
      </c>
      <c r="G83" s="139">
        <v>45978.0</v>
      </c>
      <c r="H83" s="159" t="s">
        <v>69</v>
      </c>
      <c r="I83" s="90"/>
    </row>
    <row r="84" ht="13.5" customHeight="1">
      <c r="A84" s="90">
        <v>80.0</v>
      </c>
      <c r="B84" s="139">
        <v>45976.0</v>
      </c>
      <c r="C84" s="90">
        <v>56.0</v>
      </c>
      <c r="D84" s="93">
        <v>73.0</v>
      </c>
      <c r="E84" s="157" t="s">
        <v>311</v>
      </c>
      <c r="F84" s="157" t="s">
        <v>312</v>
      </c>
      <c r="G84" s="139">
        <v>45978.0</v>
      </c>
      <c r="H84" s="159" t="s">
        <v>69</v>
      </c>
      <c r="I84" s="90"/>
    </row>
    <row r="85" ht="13.5" customHeight="1">
      <c r="A85" s="90">
        <v>81.0</v>
      </c>
      <c r="B85" s="139">
        <v>45976.0</v>
      </c>
      <c r="C85" s="90">
        <v>56.0</v>
      </c>
      <c r="D85" s="93">
        <v>131.0</v>
      </c>
      <c r="E85" s="157" t="s">
        <v>311</v>
      </c>
      <c r="F85" s="157" t="s">
        <v>312</v>
      </c>
      <c r="G85" s="139">
        <v>45978.0</v>
      </c>
      <c r="H85" s="159" t="s">
        <v>69</v>
      </c>
      <c r="I85" s="90"/>
    </row>
    <row r="86" ht="13.5" customHeight="1">
      <c r="A86" s="90">
        <v>82.0</v>
      </c>
      <c r="B86" s="139">
        <v>45976.0</v>
      </c>
      <c r="C86" s="90">
        <v>58.0</v>
      </c>
      <c r="D86" s="93">
        <v>60.0</v>
      </c>
      <c r="E86" s="157" t="s">
        <v>311</v>
      </c>
      <c r="F86" s="157" t="s">
        <v>312</v>
      </c>
      <c r="G86" s="139">
        <v>45978.0</v>
      </c>
      <c r="H86" s="159" t="s">
        <v>69</v>
      </c>
      <c r="I86" s="90"/>
    </row>
    <row r="87" ht="13.5" customHeight="1">
      <c r="A87" s="90">
        <v>83.0</v>
      </c>
      <c r="B87" s="139">
        <v>45976.0</v>
      </c>
      <c r="C87" s="90">
        <v>59.0</v>
      </c>
      <c r="D87" s="93">
        <v>109.0</v>
      </c>
      <c r="E87" s="157" t="s">
        <v>311</v>
      </c>
      <c r="F87" s="157" t="s">
        <v>312</v>
      </c>
      <c r="G87" s="139">
        <v>45978.0</v>
      </c>
      <c r="H87" s="159" t="s">
        <v>69</v>
      </c>
      <c r="I87" s="90"/>
    </row>
    <row r="88" ht="13.5" customHeight="1">
      <c r="A88" s="90">
        <v>84.0</v>
      </c>
      <c r="B88" s="139">
        <v>45976.0</v>
      </c>
      <c r="C88" s="90">
        <v>60.0</v>
      </c>
      <c r="D88" s="93">
        <v>41.0</v>
      </c>
      <c r="E88" s="93" t="s">
        <v>313</v>
      </c>
      <c r="F88" s="157" t="s">
        <v>309</v>
      </c>
      <c r="G88" s="139">
        <v>45978.0</v>
      </c>
      <c r="H88" s="159" t="s">
        <v>69</v>
      </c>
      <c r="I88" s="90"/>
    </row>
    <row r="89" ht="13.5" customHeight="1">
      <c r="A89" s="90">
        <v>85.0</v>
      </c>
      <c r="B89" s="139">
        <v>45976.0</v>
      </c>
      <c r="C89" s="90">
        <v>79.0</v>
      </c>
      <c r="D89" s="93">
        <v>61.0</v>
      </c>
      <c r="E89" s="93" t="s">
        <v>310</v>
      </c>
      <c r="F89" s="157" t="s">
        <v>309</v>
      </c>
      <c r="G89" s="139">
        <v>45978.0</v>
      </c>
      <c r="H89" s="159" t="s">
        <v>69</v>
      </c>
      <c r="I89" s="90"/>
    </row>
    <row r="90" ht="13.5" customHeight="1">
      <c r="A90" s="90">
        <v>86.0</v>
      </c>
      <c r="B90" s="139">
        <v>45976.0</v>
      </c>
      <c r="C90" s="90">
        <v>80.0</v>
      </c>
      <c r="D90" s="93">
        <v>52.0</v>
      </c>
      <c r="E90" s="93" t="s">
        <v>310</v>
      </c>
      <c r="F90" s="157" t="s">
        <v>309</v>
      </c>
      <c r="G90" s="139">
        <v>45978.0</v>
      </c>
      <c r="H90" s="159" t="s">
        <v>69</v>
      </c>
      <c r="I90" s="90"/>
    </row>
    <row r="91" ht="13.5" customHeight="1">
      <c r="A91" s="90">
        <v>87.0</v>
      </c>
      <c r="B91" s="139">
        <v>45976.0</v>
      </c>
      <c r="C91" s="90">
        <v>86.0</v>
      </c>
      <c r="D91" s="93">
        <v>104.0</v>
      </c>
      <c r="E91" s="157" t="s">
        <v>311</v>
      </c>
      <c r="F91" s="157" t="s">
        <v>312</v>
      </c>
      <c r="G91" s="139">
        <v>45978.0</v>
      </c>
      <c r="H91" s="159" t="s">
        <v>69</v>
      </c>
      <c r="I91" s="90"/>
    </row>
    <row r="92" ht="13.5" customHeight="1">
      <c r="A92" s="90">
        <v>88.0</v>
      </c>
      <c r="B92" s="139">
        <v>45976.0</v>
      </c>
      <c r="C92" s="90">
        <v>94.0</v>
      </c>
      <c r="D92" s="93">
        <v>129.0</v>
      </c>
      <c r="E92" s="93" t="s">
        <v>310</v>
      </c>
      <c r="F92" s="157" t="s">
        <v>309</v>
      </c>
      <c r="G92" s="139">
        <v>45978.0</v>
      </c>
      <c r="H92" s="159" t="s">
        <v>69</v>
      </c>
      <c r="I92" s="90"/>
    </row>
    <row r="93" ht="13.5" customHeight="1">
      <c r="A93" s="90">
        <v>89.0</v>
      </c>
      <c r="B93" s="139">
        <v>45976.0</v>
      </c>
      <c r="C93" s="90">
        <v>104.0</v>
      </c>
      <c r="D93" s="93">
        <v>116.0</v>
      </c>
      <c r="E93" s="93" t="s">
        <v>310</v>
      </c>
      <c r="F93" s="157" t="s">
        <v>309</v>
      </c>
      <c r="G93" s="139">
        <v>45978.0</v>
      </c>
      <c r="H93" s="159" t="s">
        <v>69</v>
      </c>
      <c r="I93" s="90"/>
    </row>
    <row r="94" ht="13.5" customHeight="1">
      <c r="A94" s="90">
        <v>90.0</v>
      </c>
      <c r="B94" s="139">
        <v>45976.0</v>
      </c>
      <c r="C94" s="90">
        <v>121.0</v>
      </c>
      <c r="D94" s="93">
        <v>48.0</v>
      </c>
      <c r="E94" s="93" t="s">
        <v>310</v>
      </c>
      <c r="F94" s="157" t="s">
        <v>309</v>
      </c>
      <c r="G94" s="139">
        <v>45978.0</v>
      </c>
      <c r="H94" s="159" t="s">
        <v>69</v>
      </c>
      <c r="I94" s="90"/>
    </row>
    <row r="95" ht="13.5" customHeight="1">
      <c r="A95" s="90">
        <v>91.0</v>
      </c>
      <c r="B95" s="139">
        <v>45976.0</v>
      </c>
      <c r="C95" s="90">
        <v>131.0</v>
      </c>
      <c r="D95" s="93">
        <v>109.0</v>
      </c>
      <c r="E95" s="93" t="s">
        <v>310</v>
      </c>
      <c r="F95" s="157" t="s">
        <v>309</v>
      </c>
      <c r="G95" s="139">
        <v>45978.0</v>
      </c>
      <c r="H95" s="159" t="s">
        <v>69</v>
      </c>
      <c r="I95" s="90"/>
    </row>
    <row r="96" ht="13.5" customHeight="1">
      <c r="A96" s="90">
        <v>92.0</v>
      </c>
      <c r="B96" s="139">
        <v>45977.0</v>
      </c>
      <c r="C96" s="90">
        <v>3.0</v>
      </c>
      <c r="D96" s="93">
        <v>115.0</v>
      </c>
      <c r="E96" s="93" t="s">
        <v>310</v>
      </c>
      <c r="F96" s="145" t="s">
        <v>314</v>
      </c>
      <c r="G96" s="144">
        <v>45999.0</v>
      </c>
      <c r="H96" s="159" t="s">
        <v>69</v>
      </c>
      <c r="I96" s="93" t="s">
        <v>315</v>
      </c>
    </row>
    <row r="97" ht="13.5" customHeight="1">
      <c r="A97" s="90">
        <v>93.0</v>
      </c>
      <c r="B97" s="139">
        <v>45977.0</v>
      </c>
      <c r="C97" s="90">
        <v>4.0</v>
      </c>
      <c r="D97" s="93">
        <v>26.0</v>
      </c>
      <c r="E97" s="93" t="s">
        <v>310</v>
      </c>
      <c r="F97" s="93" t="s">
        <v>309</v>
      </c>
      <c r="G97" s="139">
        <v>45978.0</v>
      </c>
      <c r="H97" s="159" t="s">
        <v>69</v>
      </c>
      <c r="I97" s="90"/>
    </row>
    <row r="98" ht="13.5" customHeight="1">
      <c r="A98" s="90">
        <v>94.0</v>
      </c>
      <c r="B98" s="139">
        <v>45977.0</v>
      </c>
      <c r="C98" s="90">
        <v>4.0</v>
      </c>
      <c r="D98" s="93">
        <v>61.0</v>
      </c>
      <c r="E98" s="93" t="s">
        <v>310</v>
      </c>
      <c r="F98" s="93" t="s">
        <v>309</v>
      </c>
      <c r="G98" s="139">
        <v>45978.0</v>
      </c>
      <c r="H98" s="159" t="s">
        <v>69</v>
      </c>
      <c r="I98" s="90"/>
    </row>
    <row r="99" ht="13.5" customHeight="1">
      <c r="A99" s="90">
        <v>95.0</v>
      </c>
      <c r="B99" s="139">
        <v>45977.0</v>
      </c>
      <c r="C99" s="90">
        <v>8.0</v>
      </c>
      <c r="D99" s="93">
        <v>8.0</v>
      </c>
      <c r="E99" s="93" t="s">
        <v>310</v>
      </c>
      <c r="F99" s="157" t="s">
        <v>309</v>
      </c>
      <c r="G99" s="139">
        <v>45978.0</v>
      </c>
      <c r="H99" s="159" t="s">
        <v>69</v>
      </c>
      <c r="I99" s="90"/>
    </row>
    <row r="100" ht="13.5" customHeight="1">
      <c r="A100" s="90">
        <v>96.0</v>
      </c>
      <c r="B100" s="139">
        <v>45977.0</v>
      </c>
      <c r="C100" s="90">
        <v>16.0</v>
      </c>
      <c r="D100" s="93">
        <v>112.0</v>
      </c>
      <c r="E100" s="157" t="s">
        <v>311</v>
      </c>
      <c r="F100" s="157" t="s">
        <v>312</v>
      </c>
      <c r="G100" s="139">
        <v>45978.0</v>
      </c>
      <c r="H100" s="159" t="s">
        <v>69</v>
      </c>
      <c r="I100" s="90"/>
    </row>
    <row r="101" ht="13.5" customHeight="1">
      <c r="A101" s="90">
        <v>97.0</v>
      </c>
      <c r="B101" s="139">
        <v>45977.0</v>
      </c>
      <c r="C101" s="90">
        <v>20.0</v>
      </c>
      <c r="D101" s="93">
        <v>26.0</v>
      </c>
      <c r="E101" s="157" t="s">
        <v>311</v>
      </c>
      <c r="F101" s="157" t="s">
        <v>312</v>
      </c>
      <c r="G101" s="139">
        <v>45978.0</v>
      </c>
      <c r="H101" s="159" t="s">
        <v>69</v>
      </c>
      <c r="I101" s="90"/>
    </row>
    <row r="102" ht="13.5" customHeight="1">
      <c r="A102" s="90">
        <v>98.0</v>
      </c>
      <c r="B102" s="139">
        <v>45977.0</v>
      </c>
      <c r="C102" s="90">
        <v>20.0</v>
      </c>
      <c r="D102" s="93">
        <v>82.0</v>
      </c>
      <c r="E102" s="157" t="s">
        <v>311</v>
      </c>
      <c r="F102" s="157" t="s">
        <v>312</v>
      </c>
      <c r="G102" s="139">
        <v>45978.0</v>
      </c>
      <c r="H102" s="159" t="s">
        <v>69</v>
      </c>
      <c r="I102" s="90"/>
    </row>
    <row r="103" ht="13.5" customHeight="1">
      <c r="A103" s="90">
        <v>99.0</v>
      </c>
      <c r="B103" s="139">
        <v>45977.0</v>
      </c>
      <c r="C103" s="90">
        <v>20.0</v>
      </c>
      <c r="D103" s="93">
        <v>102.0</v>
      </c>
      <c r="E103" s="157" t="s">
        <v>311</v>
      </c>
      <c r="F103" s="157" t="s">
        <v>312</v>
      </c>
      <c r="G103" s="139">
        <v>45978.0</v>
      </c>
      <c r="H103" s="159" t="s">
        <v>69</v>
      </c>
      <c r="I103" s="90"/>
    </row>
    <row r="104" ht="13.5" customHeight="1">
      <c r="A104" s="90">
        <v>100.0</v>
      </c>
      <c r="B104" s="139">
        <v>45977.0</v>
      </c>
      <c r="C104" s="90">
        <v>38.0</v>
      </c>
      <c r="D104" s="93">
        <v>7.0</v>
      </c>
      <c r="E104" s="93" t="s">
        <v>310</v>
      </c>
      <c r="F104" s="157" t="s">
        <v>309</v>
      </c>
      <c r="G104" s="139">
        <v>45978.0</v>
      </c>
      <c r="H104" s="159" t="s">
        <v>69</v>
      </c>
      <c r="I104" s="90"/>
    </row>
    <row r="105" ht="13.5" customHeight="1">
      <c r="A105" s="90">
        <v>101.0</v>
      </c>
      <c r="B105" s="139">
        <v>45977.0</v>
      </c>
      <c r="C105" s="90">
        <v>38.0</v>
      </c>
      <c r="D105" s="93">
        <v>46.0</v>
      </c>
      <c r="E105" s="157" t="s">
        <v>311</v>
      </c>
      <c r="F105" s="157" t="s">
        <v>312</v>
      </c>
      <c r="G105" s="139">
        <v>45978.0</v>
      </c>
      <c r="H105" s="159" t="s">
        <v>69</v>
      </c>
      <c r="I105" s="90"/>
    </row>
    <row r="106" ht="13.5" customHeight="1">
      <c r="A106" s="90">
        <v>102.0</v>
      </c>
      <c r="B106" s="139">
        <v>45977.0</v>
      </c>
      <c r="C106" s="90">
        <v>42.0</v>
      </c>
      <c r="D106" s="93">
        <v>38.0</v>
      </c>
      <c r="E106" s="157" t="s">
        <v>311</v>
      </c>
      <c r="F106" s="157" t="s">
        <v>312</v>
      </c>
      <c r="G106" s="139">
        <v>45978.0</v>
      </c>
      <c r="H106" s="159" t="s">
        <v>69</v>
      </c>
      <c r="I106" s="90"/>
    </row>
    <row r="107" ht="13.5" customHeight="1">
      <c r="A107" s="90">
        <v>103.0</v>
      </c>
      <c r="B107" s="139">
        <v>45977.0</v>
      </c>
      <c r="C107" s="90">
        <v>42.0</v>
      </c>
      <c r="D107" s="93">
        <v>97.0</v>
      </c>
      <c r="E107" s="157" t="s">
        <v>311</v>
      </c>
      <c r="F107" s="157" t="s">
        <v>312</v>
      </c>
      <c r="G107" s="139">
        <v>45978.0</v>
      </c>
      <c r="H107" s="159" t="s">
        <v>69</v>
      </c>
      <c r="I107" s="90"/>
    </row>
    <row r="108" ht="13.5" customHeight="1">
      <c r="A108" s="90">
        <v>104.0</v>
      </c>
      <c r="B108" s="139">
        <v>45977.0</v>
      </c>
      <c r="C108" s="90">
        <v>43.0</v>
      </c>
      <c r="D108" s="93">
        <v>78.0</v>
      </c>
      <c r="E108" s="93" t="s">
        <v>310</v>
      </c>
      <c r="F108" s="157" t="s">
        <v>309</v>
      </c>
      <c r="G108" s="139">
        <v>45978.0</v>
      </c>
      <c r="H108" s="159" t="s">
        <v>69</v>
      </c>
      <c r="I108" s="90"/>
    </row>
    <row r="109" ht="13.5" customHeight="1">
      <c r="A109" s="90">
        <v>105.0</v>
      </c>
      <c r="B109" s="139">
        <v>45977.0</v>
      </c>
      <c r="C109" s="90">
        <v>47.0</v>
      </c>
      <c r="D109" s="93">
        <v>14.0</v>
      </c>
      <c r="E109" s="157" t="s">
        <v>311</v>
      </c>
      <c r="F109" s="157" t="s">
        <v>312</v>
      </c>
      <c r="G109" s="139">
        <v>45978.0</v>
      </c>
      <c r="H109" s="159" t="s">
        <v>69</v>
      </c>
      <c r="I109" s="90"/>
    </row>
    <row r="110" ht="13.5" customHeight="1">
      <c r="A110" s="90">
        <v>106.0</v>
      </c>
      <c r="B110" s="139">
        <v>45977.0</v>
      </c>
      <c r="C110" s="90">
        <v>47.0</v>
      </c>
      <c r="D110" s="93">
        <v>141.0</v>
      </c>
      <c r="E110" s="93" t="s">
        <v>310</v>
      </c>
      <c r="F110" s="157" t="s">
        <v>309</v>
      </c>
      <c r="G110" s="139">
        <v>45978.0</v>
      </c>
      <c r="H110" s="159" t="s">
        <v>69</v>
      </c>
      <c r="I110" s="90"/>
    </row>
    <row r="111" ht="13.5" customHeight="1">
      <c r="A111" s="90">
        <v>107.0</v>
      </c>
      <c r="B111" s="139">
        <v>45977.0</v>
      </c>
      <c r="C111" s="90">
        <v>48.0</v>
      </c>
      <c r="D111" s="93">
        <v>22.0</v>
      </c>
      <c r="E111" s="157" t="s">
        <v>311</v>
      </c>
      <c r="F111" s="157" t="s">
        <v>312</v>
      </c>
      <c r="G111" s="139">
        <v>45978.0</v>
      </c>
      <c r="H111" s="159" t="s">
        <v>69</v>
      </c>
      <c r="I111" s="90"/>
    </row>
    <row r="112" ht="13.5" customHeight="1">
      <c r="A112" s="90">
        <v>108.0</v>
      </c>
      <c r="B112" s="139">
        <v>45977.0</v>
      </c>
      <c r="C112" s="90">
        <v>53.0</v>
      </c>
      <c r="D112" s="93">
        <v>41.0</v>
      </c>
      <c r="E112" s="157" t="s">
        <v>311</v>
      </c>
      <c r="F112" s="157" t="s">
        <v>312</v>
      </c>
      <c r="G112" s="139">
        <v>45978.0</v>
      </c>
      <c r="H112" s="159" t="s">
        <v>69</v>
      </c>
      <c r="I112" s="90"/>
    </row>
    <row r="113" ht="13.5" customHeight="1">
      <c r="A113" s="90">
        <v>109.0</v>
      </c>
      <c r="B113" s="139">
        <v>45978.0</v>
      </c>
      <c r="C113" s="90">
        <v>56.0</v>
      </c>
      <c r="D113" s="93">
        <v>61.0</v>
      </c>
      <c r="E113" s="157" t="s">
        <v>311</v>
      </c>
      <c r="F113" s="157" t="s">
        <v>312</v>
      </c>
      <c r="G113" s="139">
        <v>45978.0</v>
      </c>
      <c r="H113" s="159" t="s">
        <v>69</v>
      </c>
      <c r="I113" s="90"/>
    </row>
    <row r="114" ht="13.5" customHeight="1">
      <c r="A114" s="90">
        <v>110.0</v>
      </c>
      <c r="B114" s="139">
        <v>45978.0</v>
      </c>
      <c r="C114" s="90">
        <v>56.0</v>
      </c>
      <c r="D114" s="93">
        <v>65.0</v>
      </c>
      <c r="E114" s="157" t="s">
        <v>311</v>
      </c>
      <c r="F114" s="157" t="s">
        <v>312</v>
      </c>
      <c r="G114" s="139">
        <v>45978.0</v>
      </c>
      <c r="H114" s="159" t="s">
        <v>69</v>
      </c>
      <c r="I114" s="90"/>
    </row>
    <row r="115" ht="13.5" customHeight="1">
      <c r="A115" s="90">
        <v>111.0</v>
      </c>
      <c r="B115" s="139">
        <v>45978.0</v>
      </c>
      <c r="C115" s="90">
        <v>56.0</v>
      </c>
      <c r="D115" s="93">
        <v>71.0</v>
      </c>
      <c r="E115" s="157" t="s">
        <v>311</v>
      </c>
      <c r="F115" s="157" t="s">
        <v>312</v>
      </c>
      <c r="G115" s="139">
        <v>45978.0</v>
      </c>
      <c r="H115" s="159" t="s">
        <v>69</v>
      </c>
      <c r="I115" s="90"/>
    </row>
    <row r="116" ht="13.5" customHeight="1">
      <c r="A116" s="90">
        <v>112.0</v>
      </c>
      <c r="B116" s="139">
        <v>45978.0</v>
      </c>
      <c r="C116" s="90">
        <v>56.0</v>
      </c>
      <c r="D116" s="93">
        <v>73.0</v>
      </c>
      <c r="E116" s="157" t="s">
        <v>311</v>
      </c>
      <c r="F116" s="157" t="s">
        <v>312</v>
      </c>
      <c r="G116" s="139">
        <v>45978.0</v>
      </c>
      <c r="H116" s="159" t="s">
        <v>69</v>
      </c>
      <c r="I116" s="90"/>
    </row>
    <row r="117" ht="13.5" customHeight="1">
      <c r="A117" s="90">
        <v>113.0</v>
      </c>
      <c r="B117" s="139">
        <v>45978.0</v>
      </c>
      <c r="C117" s="90">
        <v>56.0</v>
      </c>
      <c r="D117" s="93">
        <v>131.0</v>
      </c>
      <c r="E117" s="157" t="s">
        <v>311</v>
      </c>
      <c r="F117" s="157" t="s">
        <v>312</v>
      </c>
      <c r="G117" s="139">
        <v>45978.0</v>
      </c>
      <c r="H117" s="159" t="s">
        <v>69</v>
      </c>
      <c r="I117" s="90"/>
    </row>
    <row r="118" ht="13.5" customHeight="1">
      <c r="A118" s="90">
        <v>114.0</v>
      </c>
      <c r="B118" s="139">
        <v>45978.0</v>
      </c>
      <c r="C118" s="90">
        <v>59.0</v>
      </c>
      <c r="D118" s="93">
        <v>109.0</v>
      </c>
      <c r="E118" s="157" t="s">
        <v>311</v>
      </c>
      <c r="F118" s="157" t="s">
        <v>312</v>
      </c>
      <c r="G118" s="139">
        <v>45979.0</v>
      </c>
      <c r="H118" s="159" t="s">
        <v>69</v>
      </c>
      <c r="I118" s="90"/>
    </row>
    <row r="119" ht="13.5" customHeight="1">
      <c r="A119" s="90">
        <v>115.0</v>
      </c>
      <c r="B119" s="139">
        <v>45978.0</v>
      </c>
      <c r="C119" s="90">
        <v>60.0</v>
      </c>
      <c r="D119" s="93">
        <v>41.0</v>
      </c>
      <c r="E119" s="93" t="s">
        <v>313</v>
      </c>
      <c r="F119" s="157" t="s">
        <v>309</v>
      </c>
      <c r="G119" s="139">
        <v>45979.0</v>
      </c>
      <c r="H119" s="159" t="s">
        <v>69</v>
      </c>
      <c r="I119" s="90"/>
    </row>
    <row r="120" ht="13.5" customHeight="1">
      <c r="A120" s="90">
        <v>116.0</v>
      </c>
      <c r="B120" s="139">
        <v>45979.0</v>
      </c>
      <c r="C120" s="90">
        <v>18.0</v>
      </c>
      <c r="D120" s="93">
        <v>66.0</v>
      </c>
      <c r="E120" s="93" t="s">
        <v>316</v>
      </c>
      <c r="F120" s="93" t="s">
        <v>309</v>
      </c>
      <c r="G120" s="139">
        <v>45979.0</v>
      </c>
      <c r="H120" s="159" t="s">
        <v>69</v>
      </c>
      <c r="I120" s="90"/>
    </row>
    <row r="121" ht="13.5" customHeight="1">
      <c r="A121" s="90">
        <v>117.0</v>
      </c>
      <c r="B121" s="139">
        <v>45979.0</v>
      </c>
      <c r="C121" s="90">
        <v>33.0</v>
      </c>
      <c r="D121" s="93">
        <v>17.0</v>
      </c>
      <c r="E121" s="93" t="s">
        <v>316</v>
      </c>
      <c r="F121" s="93" t="s">
        <v>317</v>
      </c>
      <c r="G121" s="139">
        <v>45979.0</v>
      </c>
      <c r="H121" s="159" t="s">
        <v>69</v>
      </c>
      <c r="I121" s="90"/>
    </row>
    <row r="122" ht="13.5" customHeight="1">
      <c r="A122" s="90">
        <v>118.0</v>
      </c>
      <c r="B122" s="139">
        <v>45979.0</v>
      </c>
      <c r="C122" s="90">
        <v>38.0</v>
      </c>
      <c r="D122" s="93">
        <v>7.0</v>
      </c>
      <c r="E122" s="93" t="s">
        <v>310</v>
      </c>
      <c r="F122" s="92" t="s">
        <v>318</v>
      </c>
      <c r="G122" s="144">
        <v>45990.0</v>
      </c>
      <c r="H122" s="159" t="s">
        <v>69</v>
      </c>
      <c r="I122" s="93" t="s">
        <v>319</v>
      </c>
    </row>
    <row r="123" ht="13.5" customHeight="1">
      <c r="A123" s="90">
        <v>119.0</v>
      </c>
      <c r="B123" s="139">
        <v>45979.0</v>
      </c>
      <c r="C123" s="90">
        <v>38.0</v>
      </c>
      <c r="D123" s="93">
        <v>46.0</v>
      </c>
      <c r="E123" s="93" t="s">
        <v>308</v>
      </c>
      <c r="F123" s="93" t="s">
        <v>309</v>
      </c>
      <c r="G123" s="139">
        <v>45979.0</v>
      </c>
      <c r="H123" s="159" t="s">
        <v>69</v>
      </c>
      <c r="I123" s="90"/>
    </row>
    <row r="124" ht="13.5" customHeight="1">
      <c r="A124" s="90">
        <v>120.0</v>
      </c>
      <c r="B124" s="139">
        <v>45979.0</v>
      </c>
      <c r="C124" s="90">
        <v>39.0</v>
      </c>
      <c r="D124" s="93">
        <v>60.0</v>
      </c>
      <c r="E124" s="93" t="s">
        <v>308</v>
      </c>
      <c r="F124" s="93" t="s">
        <v>317</v>
      </c>
      <c r="G124" s="139">
        <v>45979.0</v>
      </c>
      <c r="H124" s="159" t="s">
        <v>69</v>
      </c>
      <c r="I124" s="90"/>
    </row>
    <row r="125" ht="13.5" customHeight="1">
      <c r="A125" s="90">
        <v>121.0</v>
      </c>
      <c r="B125" s="139">
        <v>45979.0</v>
      </c>
      <c r="C125" s="90">
        <v>47.0</v>
      </c>
      <c r="D125" s="93">
        <v>14.0</v>
      </c>
      <c r="E125" s="93" t="s">
        <v>308</v>
      </c>
      <c r="F125" s="93" t="s">
        <v>309</v>
      </c>
      <c r="G125" s="139">
        <v>45979.0</v>
      </c>
      <c r="H125" s="159" t="s">
        <v>69</v>
      </c>
      <c r="I125" s="90"/>
    </row>
    <row r="126" ht="13.5" customHeight="1">
      <c r="A126" s="90">
        <v>122.0</v>
      </c>
      <c r="B126" s="139">
        <v>45979.0</v>
      </c>
      <c r="C126" s="90">
        <v>47.0</v>
      </c>
      <c r="D126" s="93">
        <v>140.0</v>
      </c>
      <c r="E126" s="93" t="s">
        <v>308</v>
      </c>
      <c r="F126" s="93" t="s">
        <v>317</v>
      </c>
      <c r="G126" s="139">
        <v>45979.0</v>
      </c>
      <c r="H126" s="159" t="s">
        <v>69</v>
      </c>
      <c r="I126" s="90"/>
    </row>
    <row r="127" ht="13.5" customHeight="1">
      <c r="A127" s="90">
        <v>123.0</v>
      </c>
      <c r="B127" s="139">
        <v>45979.0</v>
      </c>
      <c r="C127" s="90">
        <v>47.0</v>
      </c>
      <c r="D127" s="93">
        <v>141.0</v>
      </c>
      <c r="E127" s="93" t="s">
        <v>310</v>
      </c>
      <c r="F127" s="93" t="s">
        <v>317</v>
      </c>
      <c r="G127" s="139">
        <v>45979.0</v>
      </c>
      <c r="H127" s="159" t="s">
        <v>69</v>
      </c>
      <c r="I127" s="90"/>
    </row>
    <row r="128" ht="13.5" customHeight="1">
      <c r="A128" s="90">
        <v>124.0</v>
      </c>
      <c r="B128" s="139">
        <v>45979.0</v>
      </c>
      <c r="C128" s="90">
        <v>47.0</v>
      </c>
      <c r="D128" s="93">
        <v>142.0</v>
      </c>
      <c r="E128" s="93" t="s">
        <v>308</v>
      </c>
      <c r="F128" s="93" t="s">
        <v>317</v>
      </c>
      <c r="G128" s="139">
        <v>45979.0</v>
      </c>
      <c r="H128" s="159" t="s">
        <v>69</v>
      </c>
      <c r="I128" s="90"/>
    </row>
    <row r="129" ht="13.5" customHeight="1">
      <c r="A129" s="90">
        <v>125.0</v>
      </c>
      <c r="B129" s="139">
        <v>45979.0</v>
      </c>
      <c r="C129" s="90">
        <v>56.0</v>
      </c>
      <c r="D129" s="93">
        <v>140.0</v>
      </c>
      <c r="E129" s="93" t="s">
        <v>308</v>
      </c>
      <c r="F129" s="93" t="s">
        <v>317</v>
      </c>
      <c r="G129" s="139">
        <v>45979.0</v>
      </c>
      <c r="H129" s="159" t="s">
        <v>69</v>
      </c>
      <c r="I129" s="90"/>
    </row>
    <row r="130" ht="13.5" customHeight="1">
      <c r="A130" s="90">
        <v>126.0</v>
      </c>
      <c r="B130" s="139">
        <v>45979.0</v>
      </c>
      <c r="C130" s="90">
        <v>56.0</v>
      </c>
      <c r="D130" s="93">
        <v>141.0</v>
      </c>
      <c r="E130" s="93" t="s">
        <v>308</v>
      </c>
      <c r="F130" s="93" t="s">
        <v>317</v>
      </c>
      <c r="G130" s="139">
        <v>45979.0</v>
      </c>
      <c r="H130" s="159" t="s">
        <v>69</v>
      </c>
      <c r="I130" s="90"/>
    </row>
    <row r="131" ht="13.5" customHeight="1">
      <c r="A131" s="90">
        <v>127.0</v>
      </c>
      <c r="B131" s="139">
        <v>45979.0</v>
      </c>
      <c r="C131" s="90">
        <v>56.0</v>
      </c>
      <c r="D131" s="93">
        <v>142.0</v>
      </c>
      <c r="E131" s="93" t="s">
        <v>308</v>
      </c>
      <c r="F131" s="93" t="s">
        <v>317</v>
      </c>
      <c r="G131" s="139">
        <v>45979.0</v>
      </c>
      <c r="H131" s="159" t="s">
        <v>69</v>
      </c>
      <c r="I131" s="90"/>
    </row>
    <row r="132" ht="13.5" customHeight="1">
      <c r="A132" s="90">
        <v>128.0</v>
      </c>
      <c r="B132" s="139">
        <v>45979.0</v>
      </c>
      <c r="C132" s="90">
        <v>56.0</v>
      </c>
      <c r="D132" s="93">
        <v>143.0</v>
      </c>
      <c r="E132" s="93" t="s">
        <v>308</v>
      </c>
      <c r="F132" s="93" t="s">
        <v>317</v>
      </c>
      <c r="G132" s="139">
        <v>45979.0</v>
      </c>
      <c r="H132" s="159" t="s">
        <v>69</v>
      </c>
      <c r="I132" s="90"/>
    </row>
    <row r="133" ht="13.5" customHeight="1">
      <c r="A133" s="90">
        <v>129.0</v>
      </c>
      <c r="B133" s="139">
        <v>45979.0</v>
      </c>
      <c r="C133" s="90">
        <v>56.0</v>
      </c>
      <c r="D133" s="93">
        <v>144.0</v>
      </c>
      <c r="E133" s="93" t="s">
        <v>308</v>
      </c>
      <c r="F133" s="93" t="s">
        <v>317</v>
      </c>
      <c r="G133" s="139">
        <v>45979.0</v>
      </c>
      <c r="H133" s="159" t="s">
        <v>69</v>
      </c>
      <c r="I133" s="90"/>
    </row>
    <row r="134" ht="13.5" customHeight="1">
      <c r="A134" s="90">
        <v>130.0</v>
      </c>
      <c r="B134" s="139">
        <v>45979.0</v>
      </c>
      <c r="C134" s="90">
        <v>56.0</v>
      </c>
      <c r="D134" s="93">
        <v>145.0</v>
      </c>
      <c r="E134" s="93" t="s">
        <v>308</v>
      </c>
      <c r="F134" s="93" t="s">
        <v>317</v>
      </c>
      <c r="G134" s="139">
        <v>45979.0</v>
      </c>
      <c r="H134" s="159" t="s">
        <v>69</v>
      </c>
      <c r="I134" s="90"/>
    </row>
    <row r="135" ht="13.5" customHeight="1">
      <c r="A135" s="90">
        <v>131.0</v>
      </c>
      <c r="B135" s="139">
        <v>45979.0</v>
      </c>
      <c r="C135" s="90">
        <v>56.0</v>
      </c>
      <c r="D135" s="93">
        <v>146.0</v>
      </c>
      <c r="E135" s="93" t="s">
        <v>308</v>
      </c>
      <c r="F135" s="93" t="s">
        <v>317</v>
      </c>
      <c r="G135" s="139">
        <v>45979.0</v>
      </c>
      <c r="H135" s="159" t="s">
        <v>69</v>
      </c>
      <c r="I135" s="90"/>
    </row>
    <row r="136" ht="13.5" customHeight="1">
      <c r="A136" s="90">
        <v>132.0</v>
      </c>
      <c r="B136" s="139">
        <v>45979.0</v>
      </c>
      <c r="C136" s="90">
        <v>56.0</v>
      </c>
      <c r="D136" s="93">
        <v>147.0</v>
      </c>
      <c r="E136" s="93" t="s">
        <v>308</v>
      </c>
      <c r="F136" s="93" t="s">
        <v>317</v>
      </c>
      <c r="G136" s="139">
        <v>45979.0</v>
      </c>
      <c r="H136" s="159" t="s">
        <v>69</v>
      </c>
      <c r="I136" s="90"/>
    </row>
    <row r="137" ht="13.5" customHeight="1">
      <c r="A137" s="90">
        <v>133.0</v>
      </c>
      <c r="B137" s="139">
        <v>45979.0</v>
      </c>
      <c r="C137" s="90">
        <v>56.0</v>
      </c>
      <c r="D137" s="93">
        <v>148.0</v>
      </c>
      <c r="E137" s="93" t="s">
        <v>308</v>
      </c>
      <c r="F137" s="93" t="s">
        <v>317</v>
      </c>
      <c r="G137" s="139">
        <v>45979.0</v>
      </c>
      <c r="H137" s="159" t="s">
        <v>69</v>
      </c>
      <c r="I137" s="90"/>
    </row>
    <row r="138" ht="13.5" customHeight="1">
      <c r="A138" s="90">
        <v>134.0</v>
      </c>
      <c r="B138" s="139">
        <v>45979.0</v>
      </c>
      <c r="C138" s="90">
        <v>56.0</v>
      </c>
      <c r="D138" s="93">
        <v>149.0</v>
      </c>
      <c r="E138" s="93" t="s">
        <v>308</v>
      </c>
      <c r="F138" s="93" t="s">
        <v>317</v>
      </c>
      <c r="G138" s="139">
        <v>45979.0</v>
      </c>
      <c r="H138" s="159" t="s">
        <v>69</v>
      </c>
      <c r="I138" s="90"/>
    </row>
    <row r="139" ht="13.5" customHeight="1">
      <c r="A139" s="90">
        <v>135.0</v>
      </c>
      <c r="B139" s="139">
        <v>45979.0</v>
      </c>
      <c r="C139" s="90">
        <v>56.0</v>
      </c>
      <c r="D139" s="93">
        <v>150.0</v>
      </c>
      <c r="E139" s="93" t="s">
        <v>308</v>
      </c>
      <c r="F139" s="93" t="s">
        <v>320</v>
      </c>
      <c r="G139" s="139">
        <v>45979.0</v>
      </c>
      <c r="H139" s="159" t="s">
        <v>69</v>
      </c>
      <c r="I139" s="90"/>
    </row>
    <row r="140" ht="13.5" customHeight="1">
      <c r="A140" s="90">
        <v>136.0</v>
      </c>
      <c r="B140" s="139">
        <v>45979.0</v>
      </c>
      <c r="C140" s="90">
        <v>56.0</v>
      </c>
      <c r="D140" s="93">
        <v>151.0</v>
      </c>
      <c r="E140" s="93" t="s">
        <v>308</v>
      </c>
      <c r="F140" s="90" t="s">
        <v>285</v>
      </c>
      <c r="G140" s="139">
        <v>45987.0</v>
      </c>
      <c r="H140" s="159" t="s">
        <v>69</v>
      </c>
      <c r="I140" s="93" t="s">
        <v>319</v>
      </c>
    </row>
    <row r="141" ht="13.5" customHeight="1">
      <c r="A141" s="90">
        <v>137.0</v>
      </c>
      <c r="B141" s="139">
        <v>45979.0</v>
      </c>
      <c r="C141" s="90">
        <v>59.0</v>
      </c>
      <c r="D141" s="93">
        <v>73.0</v>
      </c>
      <c r="E141" s="93" t="s">
        <v>308</v>
      </c>
      <c r="F141" s="93" t="s">
        <v>317</v>
      </c>
      <c r="G141" s="139">
        <v>45979.0</v>
      </c>
      <c r="H141" s="159" t="s">
        <v>69</v>
      </c>
      <c r="I141" s="90"/>
    </row>
    <row r="142" ht="13.5" customHeight="1">
      <c r="A142" s="90">
        <v>138.0</v>
      </c>
      <c r="B142" s="139">
        <v>45979.0</v>
      </c>
      <c r="C142" s="90">
        <v>83.0</v>
      </c>
      <c r="D142" s="93">
        <v>99.0</v>
      </c>
      <c r="E142" s="93" t="s">
        <v>308</v>
      </c>
      <c r="F142" s="93" t="s">
        <v>317</v>
      </c>
      <c r="G142" s="139">
        <v>45979.0</v>
      </c>
      <c r="H142" s="159" t="s">
        <v>69</v>
      </c>
      <c r="I142" s="90"/>
    </row>
    <row r="143" ht="13.5" customHeight="1">
      <c r="A143" s="90">
        <v>139.0</v>
      </c>
      <c r="B143" s="139">
        <v>45979.0</v>
      </c>
      <c r="C143" s="90">
        <v>98.0</v>
      </c>
      <c r="D143" s="93">
        <v>69.0</v>
      </c>
      <c r="E143" s="93" t="s">
        <v>308</v>
      </c>
      <c r="F143" s="93" t="s">
        <v>317</v>
      </c>
      <c r="G143" s="139">
        <v>45979.0</v>
      </c>
      <c r="H143" s="159" t="s">
        <v>69</v>
      </c>
      <c r="I143" s="90"/>
    </row>
    <row r="144" ht="13.5" customHeight="1">
      <c r="A144" s="90">
        <v>140.0</v>
      </c>
      <c r="B144" s="139">
        <v>45979.0</v>
      </c>
      <c r="C144" s="90">
        <v>103.0</v>
      </c>
      <c r="D144" s="93">
        <v>111.0</v>
      </c>
      <c r="E144" s="93" t="s">
        <v>308</v>
      </c>
      <c r="F144" s="93" t="s">
        <v>317</v>
      </c>
      <c r="G144" s="139">
        <v>45979.0</v>
      </c>
      <c r="H144" s="159" t="s">
        <v>69</v>
      </c>
      <c r="I144" s="90"/>
    </row>
    <row r="145" ht="13.5" customHeight="1">
      <c r="A145" s="90">
        <v>141.0</v>
      </c>
      <c r="B145" s="139">
        <v>45979.0</v>
      </c>
      <c r="C145" s="90">
        <v>103.0</v>
      </c>
      <c r="D145" s="93">
        <v>113.0</v>
      </c>
      <c r="E145" s="93" t="s">
        <v>308</v>
      </c>
      <c r="F145" s="93" t="s">
        <v>309</v>
      </c>
      <c r="G145" s="139">
        <v>45979.0</v>
      </c>
      <c r="H145" s="159" t="s">
        <v>69</v>
      </c>
      <c r="I145" s="90"/>
    </row>
    <row r="146" ht="13.5" customHeight="1">
      <c r="A146" s="90">
        <v>142.0</v>
      </c>
      <c r="B146" s="139">
        <v>45979.0</v>
      </c>
      <c r="C146" s="90">
        <v>104.0</v>
      </c>
      <c r="D146" s="93">
        <v>32.0</v>
      </c>
      <c r="E146" s="93" t="s">
        <v>308</v>
      </c>
      <c r="F146" s="90" t="s">
        <v>285</v>
      </c>
      <c r="G146" s="139">
        <v>45987.0</v>
      </c>
      <c r="H146" s="159" t="s">
        <v>69</v>
      </c>
      <c r="I146" s="93" t="s">
        <v>321</v>
      </c>
    </row>
    <row r="147" ht="13.5" customHeight="1">
      <c r="A147" s="90">
        <v>143.0</v>
      </c>
      <c r="B147" s="139">
        <v>45979.0</v>
      </c>
      <c r="C147" s="90">
        <v>113.0</v>
      </c>
      <c r="D147" s="93">
        <v>136.0</v>
      </c>
      <c r="E147" s="93" t="s">
        <v>308</v>
      </c>
      <c r="F147" s="93" t="s">
        <v>317</v>
      </c>
      <c r="G147" s="139">
        <v>45979.0</v>
      </c>
      <c r="H147" s="159" t="s">
        <v>69</v>
      </c>
      <c r="I147" s="90"/>
    </row>
    <row r="148" ht="13.5" customHeight="1">
      <c r="A148" s="90">
        <v>144.0</v>
      </c>
      <c r="B148" s="139">
        <v>45979.0</v>
      </c>
      <c r="C148" s="90">
        <v>118.0</v>
      </c>
      <c r="D148" s="93">
        <v>89.0</v>
      </c>
      <c r="E148" s="93" t="s">
        <v>308</v>
      </c>
      <c r="F148" s="93" t="s">
        <v>317</v>
      </c>
      <c r="G148" s="139">
        <v>45979.0</v>
      </c>
      <c r="H148" s="159" t="s">
        <v>69</v>
      </c>
      <c r="I148" s="90"/>
    </row>
    <row r="149" ht="13.5" customHeight="1">
      <c r="A149" s="90">
        <v>145.0</v>
      </c>
      <c r="B149" s="139">
        <v>45979.0</v>
      </c>
      <c r="C149" s="90">
        <v>119.0</v>
      </c>
      <c r="D149" s="93">
        <v>126.0</v>
      </c>
      <c r="E149" s="93" t="s">
        <v>308</v>
      </c>
      <c r="F149" s="93" t="s">
        <v>317</v>
      </c>
      <c r="G149" s="139">
        <v>45979.0</v>
      </c>
      <c r="H149" s="159" t="s">
        <v>69</v>
      </c>
      <c r="I149" s="90"/>
    </row>
    <row r="150" ht="13.5" customHeight="1">
      <c r="A150" s="90">
        <v>146.0</v>
      </c>
      <c r="B150" s="139">
        <v>45981.0</v>
      </c>
      <c r="C150" s="93">
        <v>3.0</v>
      </c>
      <c r="D150" s="93">
        <v>115.0</v>
      </c>
      <c r="E150" s="93" t="s">
        <v>322</v>
      </c>
      <c r="F150" s="93" t="s">
        <v>312</v>
      </c>
      <c r="G150" s="139">
        <v>45981.0</v>
      </c>
      <c r="H150" s="159" t="s">
        <v>69</v>
      </c>
      <c r="I150" s="90"/>
    </row>
    <row r="151" ht="13.5" customHeight="1">
      <c r="A151" s="90">
        <v>147.0</v>
      </c>
      <c r="B151" s="139">
        <v>45981.0</v>
      </c>
      <c r="C151" s="93">
        <v>8.0</v>
      </c>
      <c r="D151" s="93">
        <v>51.0</v>
      </c>
      <c r="E151" s="93" t="s">
        <v>322</v>
      </c>
      <c r="F151" s="93" t="s">
        <v>312</v>
      </c>
      <c r="G151" s="139">
        <v>45981.0</v>
      </c>
      <c r="H151" s="159" t="s">
        <v>69</v>
      </c>
      <c r="I151" s="90"/>
    </row>
    <row r="152" ht="13.5" customHeight="1">
      <c r="A152" s="90">
        <v>148.0</v>
      </c>
      <c r="B152" s="139">
        <v>45981.0</v>
      </c>
      <c r="C152" s="93">
        <v>8.0</v>
      </c>
      <c r="D152" s="93">
        <v>57.0</v>
      </c>
      <c r="E152" s="93" t="s">
        <v>322</v>
      </c>
      <c r="F152" s="93" t="s">
        <v>312</v>
      </c>
      <c r="G152" s="139">
        <v>45981.0</v>
      </c>
      <c r="H152" s="159" t="s">
        <v>69</v>
      </c>
      <c r="I152" s="90"/>
    </row>
    <row r="153" ht="13.5" customHeight="1">
      <c r="A153" s="90">
        <v>149.0</v>
      </c>
      <c r="B153" s="139">
        <v>45981.0</v>
      </c>
      <c r="C153" s="93">
        <v>15.0</v>
      </c>
      <c r="D153" s="93">
        <v>12.0</v>
      </c>
      <c r="E153" s="93" t="s">
        <v>322</v>
      </c>
      <c r="F153" s="93" t="s">
        <v>312</v>
      </c>
      <c r="G153" s="139">
        <v>45981.0</v>
      </c>
      <c r="H153" s="159" t="s">
        <v>69</v>
      </c>
      <c r="I153" s="90"/>
    </row>
    <row r="154" ht="13.5" customHeight="1">
      <c r="A154" s="90">
        <v>150.0</v>
      </c>
      <c r="B154" s="139">
        <v>45981.0</v>
      </c>
      <c r="C154" s="93">
        <v>38.0</v>
      </c>
      <c r="D154" s="93">
        <v>7.0</v>
      </c>
      <c r="E154" s="93" t="s">
        <v>310</v>
      </c>
      <c r="F154" s="93" t="s">
        <v>309</v>
      </c>
      <c r="G154" s="139">
        <v>45981.0</v>
      </c>
      <c r="H154" s="159" t="s">
        <v>69</v>
      </c>
      <c r="I154" s="90"/>
    </row>
    <row r="155" ht="13.5" customHeight="1">
      <c r="A155" s="90">
        <v>151.0</v>
      </c>
      <c r="B155" s="139">
        <v>45981.0</v>
      </c>
      <c r="C155" s="93">
        <v>42.0</v>
      </c>
      <c r="D155" s="93">
        <v>38.0</v>
      </c>
      <c r="E155" s="93" t="s">
        <v>322</v>
      </c>
      <c r="F155" s="93" t="s">
        <v>312</v>
      </c>
      <c r="G155" s="139">
        <v>45981.0</v>
      </c>
      <c r="H155" s="159" t="s">
        <v>69</v>
      </c>
      <c r="I155" s="90"/>
    </row>
    <row r="156" ht="13.5" customHeight="1">
      <c r="A156" s="90">
        <v>152.0</v>
      </c>
      <c r="B156" s="139">
        <v>45981.0</v>
      </c>
      <c r="C156" s="93">
        <v>42.0</v>
      </c>
      <c r="D156" s="93">
        <v>97.0</v>
      </c>
      <c r="E156" s="93" t="s">
        <v>322</v>
      </c>
      <c r="F156" s="93" t="s">
        <v>312</v>
      </c>
      <c r="G156" s="139">
        <v>45981.0</v>
      </c>
      <c r="H156" s="159" t="s">
        <v>69</v>
      </c>
      <c r="I156" s="90"/>
    </row>
    <row r="157" ht="13.5" customHeight="1">
      <c r="A157" s="90">
        <v>153.0</v>
      </c>
      <c r="B157" s="139">
        <v>45981.0</v>
      </c>
      <c r="C157" s="93">
        <v>43.0</v>
      </c>
      <c r="D157" s="93">
        <v>16.0</v>
      </c>
      <c r="E157" s="93" t="s">
        <v>310</v>
      </c>
      <c r="F157" s="93" t="s">
        <v>309</v>
      </c>
      <c r="G157" s="139">
        <v>45981.0</v>
      </c>
      <c r="H157" s="159" t="s">
        <v>69</v>
      </c>
      <c r="I157" s="90"/>
    </row>
    <row r="158" ht="13.5" customHeight="1">
      <c r="A158" s="90">
        <v>154.0</v>
      </c>
      <c r="B158" s="139">
        <v>45981.0</v>
      </c>
      <c r="C158" s="93">
        <v>43.0</v>
      </c>
      <c r="D158" s="93">
        <v>78.0</v>
      </c>
      <c r="E158" s="93" t="s">
        <v>322</v>
      </c>
      <c r="F158" s="93" t="s">
        <v>312</v>
      </c>
      <c r="G158" s="139">
        <v>45981.0</v>
      </c>
      <c r="H158" s="159" t="s">
        <v>69</v>
      </c>
      <c r="I158" s="90"/>
    </row>
    <row r="159" ht="13.5" customHeight="1">
      <c r="A159" s="90">
        <v>155.0</v>
      </c>
      <c r="B159" s="139">
        <v>45981.0</v>
      </c>
      <c r="C159" s="93">
        <v>48.0</v>
      </c>
      <c r="D159" s="93">
        <v>12.0</v>
      </c>
      <c r="E159" s="93" t="s">
        <v>310</v>
      </c>
      <c r="F159" s="93" t="s">
        <v>309</v>
      </c>
      <c r="G159" s="139">
        <v>45981.0</v>
      </c>
      <c r="H159" s="159" t="s">
        <v>69</v>
      </c>
      <c r="I159" s="90"/>
    </row>
    <row r="160" ht="13.5" customHeight="1">
      <c r="A160" s="90">
        <v>156.0</v>
      </c>
      <c r="B160" s="139">
        <v>45981.0</v>
      </c>
      <c r="C160" s="93">
        <v>48.0</v>
      </c>
      <c r="D160" s="93">
        <v>22.0</v>
      </c>
      <c r="E160" s="93" t="s">
        <v>322</v>
      </c>
      <c r="F160" s="93" t="s">
        <v>312</v>
      </c>
      <c r="G160" s="139">
        <v>45981.0</v>
      </c>
      <c r="H160" s="159" t="s">
        <v>69</v>
      </c>
      <c r="I160" s="90"/>
    </row>
    <row r="161" ht="13.5" customHeight="1">
      <c r="A161" s="90">
        <v>157.0</v>
      </c>
      <c r="B161" s="139">
        <v>45981.0</v>
      </c>
      <c r="C161" s="93">
        <v>53.0</v>
      </c>
      <c r="D161" s="93">
        <v>41.0</v>
      </c>
      <c r="E161" s="93" t="s">
        <v>322</v>
      </c>
      <c r="F161" s="93" t="s">
        <v>312</v>
      </c>
      <c r="G161" s="139">
        <v>45981.0</v>
      </c>
      <c r="H161" s="159" t="s">
        <v>69</v>
      </c>
      <c r="I161" s="90"/>
    </row>
    <row r="162" ht="13.5" customHeight="1">
      <c r="A162" s="90">
        <v>158.0</v>
      </c>
      <c r="B162" s="139">
        <v>45981.0</v>
      </c>
      <c r="C162" s="93">
        <v>56.0</v>
      </c>
      <c r="D162" s="93">
        <v>71.0</v>
      </c>
      <c r="E162" s="93" t="s">
        <v>322</v>
      </c>
      <c r="F162" s="93" t="s">
        <v>312</v>
      </c>
      <c r="G162" s="139">
        <v>45981.0</v>
      </c>
      <c r="H162" s="159" t="s">
        <v>69</v>
      </c>
      <c r="I162" s="90"/>
    </row>
    <row r="163" ht="13.5" customHeight="1">
      <c r="A163" s="90">
        <v>159.0</v>
      </c>
      <c r="B163" s="139">
        <v>45981.0</v>
      </c>
      <c r="C163" s="93">
        <v>58.0</v>
      </c>
      <c r="D163" s="93">
        <v>26.0</v>
      </c>
      <c r="E163" s="93" t="s">
        <v>310</v>
      </c>
      <c r="F163" s="93" t="s">
        <v>309</v>
      </c>
      <c r="G163" s="139">
        <v>45981.0</v>
      </c>
      <c r="H163" s="159" t="s">
        <v>69</v>
      </c>
      <c r="I163" s="90"/>
    </row>
    <row r="164" ht="13.5" customHeight="1">
      <c r="A164" s="90">
        <v>160.0</v>
      </c>
      <c r="B164" s="139">
        <v>45981.0</v>
      </c>
      <c r="C164" s="93">
        <v>66.0</v>
      </c>
      <c r="D164" s="93">
        <v>52.0</v>
      </c>
      <c r="E164" s="93" t="s">
        <v>322</v>
      </c>
      <c r="F164" s="93" t="s">
        <v>312</v>
      </c>
      <c r="G164" s="139">
        <v>45981.0</v>
      </c>
      <c r="H164" s="159" t="s">
        <v>69</v>
      </c>
      <c r="I164" s="90"/>
    </row>
    <row r="165" ht="13.5" customHeight="1">
      <c r="A165" s="90">
        <v>161.0</v>
      </c>
      <c r="B165" s="139">
        <v>45981.0</v>
      </c>
      <c r="C165" s="93">
        <v>80.0</v>
      </c>
      <c r="D165" s="93">
        <v>52.0</v>
      </c>
      <c r="E165" s="93" t="s">
        <v>310</v>
      </c>
      <c r="F165" s="93" t="s">
        <v>309</v>
      </c>
      <c r="G165" s="139">
        <v>45981.0</v>
      </c>
      <c r="H165" s="159" t="s">
        <v>69</v>
      </c>
      <c r="I165" s="90"/>
    </row>
    <row r="166" ht="13.5" customHeight="1">
      <c r="A166" s="90">
        <v>162.0</v>
      </c>
      <c r="B166" s="139">
        <v>45981.0</v>
      </c>
      <c r="C166" s="93">
        <v>94.0</v>
      </c>
      <c r="D166" s="93">
        <v>129.0</v>
      </c>
      <c r="E166" s="93" t="s">
        <v>310</v>
      </c>
      <c r="F166" s="93" t="s">
        <v>309</v>
      </c>
      <c r="G166" s="139">
        <v>45981.0</v>
      </c>
      <c r="H166" s="159" t="s">
        <v>69</v>
      </c>
      <c r="I166" s="90"/>
    </row>
    <row r="167" ht="13.5" customHeight="1">
      <c r="A167" s="90">
        <v>163.0</v>
      </c>
      <c r="B167" s="139">
        <v>45981.0</v>
      </c>
      <c r="C167" s="93">
        <v>104.0</v>
      </c>
      <c r="D167" s="93">
        <v>116.0</v>
      </c>
      <c r="E167" s="93" t="s">
        <v>310</v>
      </c>
      <c r="F167" s="93" t="s">
        <v>309</v>
      </c>
      <c r="G167" s="139">
        <v>45981.0</v>
      </c>
      <c r="H167" s="159" t="s">
        <v>69</v>
      </c>
      <c r="I167" s="90"/>
    </row>
    <row r="168" ht="13.5" customHeight="1">
      <c r="A168" s="90">
        <v>164.0</v>
      </c>
      <c r="B168" s="139">
        <v>45981.0</v>
      </c>
      <c r="C168" s="93">
        <v>117.0</v>
      </c>
      <c r="D168" s="93">
        <v>121.0</v>
      </c>
      <c r="E168" s="93" t="s">
        <v>310</v>
      </c>
      <c r="F168" s="93" t="s">
        <v>309</v>
      </c>
      <c r="G168" s="139">
        <v>45981.0</v>
      </c>
      <c r="H168" s="159" t="s">
        <v>69</v>
      </c>
      <c r="I168" s="90"/>
    </row>
    <row r="169" ht="13.5" customHeight="1">
      <c r="A169" s="90">
        <v>165.0</v>
      </c>
      <c r="B169" s="139">
        <v>45981.0</v>
      </c>
      <c r="C169" s="93">
        <v>121.0</v>
      </c>
      <c r="D169" s="93">
        <v>48.0</v>
      </c>
      <c r="E169" s="93" t="s">
        <v>310</v>
      </c>
      <c r="F169" s="93" t="s">
        <v>309</v>
      </c>
      <c r="G169" s="139">
        <v>45981.0</v>
      </c>
      <c r="H169" s="159" t="s">
        <v>69</v>
      </c>
      <c r="I169" s="90"/>
    </row>
    <row r="170" ht="13.5" customHeight="1">
      <c r="A170" s="90">
        <v>166.0</v>
      </c>
      <c r="B170" s="139">
        <v>45982.0</v>
      </c>
      <c r="C170" s="93">
        <v>7.0</v>
      </c>
      <c r="D170" s="93">
        <v>141.0</v>
      </c>
      <c r="E170" s="93" t="s">
        <v>323</v>
      </c>
      <c r="F170" s="93" t="s">
        <v>324</v>
      </c>
      <c r="G170" s="139">
        <v>45982.0</v>
      </c>
      <c r="H170" s="159" t="s">
        <v>69</v>
      </c>
      <c r="I170" s="90"/>
    </row>
    <row r="171" ht="13.5" customHeight="1">
      <c r="A171" s="90">
        <v>167.0</v>
      </c>
      <c r="B171" s="139">
        <v>45982.0</v>
      </c>
      <c r="C171" s="93">
        <v>33.0</v>
      </c>
      <c r="D171" s="93">
        <v>17.0</v>
      </c>
      <c r="E171" s="93" t="s">
        <v>323</v>
      </c>
      <c r="F171" s="93" t="s">
        <v>325</v>
      </c>
      <c r="G171" s="139">
        <v>45982.0</v>
      </c>
      <c r="H171" s="159" t="s">
        <v>69</v>
      </c>
      <c r="I171" s="90"/>
    </row>
    <row r="172" ht="13.5" customHeight="1">
      <c r="A172" s="90">
        <v>168.0</v>
      </c>
      <c r="B172" s="139">
        <v>45982.0</v>
      </c>
      <c r="C172" s="93">
        <v>39.0</v>
      </c>
      <c r="D172" s="93">
        <v>60.0</v>
      </c>
      <c r="E172" s="93" t="s">
        <v>323</v>
      </c>
      <c r="F172" s="92" t="s">
        <v>326</v>
      </c>
      <c r="G172" s="144">
        <v>45998.0</v>
      </c>
      <c r="H172" s="159" t="s">
        <v>69</v>
      </c>
      <c r="I172" s="93" t="s">
        <v>327</v>
      </c>
    </row>
    <row r="173" ht="13.5" customHeight="1">
      <c r="A173" s="90">
        <v>169.0</v>
      </c>
      <c r="B173" s="139">
        <v>45982.0</v>
      </c>
      <c r="C173" s="93">
        <v>81.0</v>
      </c>
      <c r="D173" s="93">
        <v>132.0</v>
      </c>
      <c r="E173" s="93" t="s">
        <v>323</v>
      </c>
      <c r="F173" s="93" t="s">
        <v>325</v>
      </c>
      <c r="G173" s="139">
        <v>45982.0</v>
      </c>
      <c r="H173" s="159" t="s">
        <v>69</v>
      </c>
      <c r="I173" s="90"/>
    </row>
    <row r="174" ht="13.5" customHeight="1">
      <c r="A174" s="90">
        <v>170.0</v>
      </c>
      <c r="B174" s="139">
        <v>45982.0</v>
      </c>
      <c r="C174" s="93">
        <v>83.0</v>
      </c>
      <c r="D174" s="93">
        <v>99.0</v>
      </c>
      <c r="E174" s="93" t="s">
        <v>323</v>
      </c>
      <c r="F174" s="90" t="s">
        <v>309</v>
      </c>
      <c r="G174" s="139">
        <v>45992.0</v>
      </c>
      <c r="H174" s="159" t="s">
        <v>69</v>
      </c>
      <c r="I174" s="93" t="s">
        <v>327</v>
      </c>
    </row>
    <row r="175" ht="13.5" customHeight="1">
      <c r="A175" s="90">
        <v>171.0</v>
      </c>
      <c r="B175" s="139">
        <v>45982.0</v>
      </c>
      <c r="C175" s="93">
        <v>86.0</v>
      </c>
      <c r="D175" s="93">
        <v>101.0</v>
      </c>
      <c r="E175" s="93" t="s">
        <v>323</v>
      </c>
      <c r="F175" s="93" t="s">
        <v>325</v>
      </c>
      <c r="G175" s="139">
        <v>45982.0</v>
      </c>
      <c r="H175" s="159" t="s">
        <v>69</v>
      </c>
      <c r="I175" s="90"/>
    </row>
    <row r="176" ht="13.5" customHeight="1">
      <c r="A176" s="90">
        <v>172.0</v>
      </c>
      <c r="B176" s="139">
        <v>45982.0</v>
      </c>
      <c r="C176" s="93">
        <v>107.0</v>
      </c>
      <c r="D176" s="93">
        <v>130.0</v>
      </c>
      <c r="E176" s="93" t="s">
        <v>323</v>
      </c>
      <c r="F176" s="93" t="s">
        <v>325</v>
      </c>
      <c r="G176" s="139">
        <v>45982.0</v>
      </c>
      <c r="H176" s="159" t="s">
        <v>69</v>
      </c>
      <c r="I176" s="90"/>
    </row>
    <row r="177" ht="13.5" customHeight="1">
      <c r="A177" s="90">
        <v>173.0</v>
      </c>
      <c r="B177" s="139">
        <v>45982.0</v>
      </c>
      <c r="C177" s="93">
        <v>107.0</v>
      </c>
      <c r="D177" s="93">
        <v>131.0</v>
      </c>
      <c r="E177" s="93" t="s">
        <v>323</v>
      </c>
      <c r="F177" s="93" t="s">
        <v>325</v>
      </c>
      <c r="G177" s="139">
        <v>45982.0</v>
      </c>
      <c r="H177" s="159" t="s">
        <v>69</v>
      </c>
      <c r="I177" s="90"/>
    </row>
    <row r="178" ht="13.5" customHeight="1">
      <c r="A178" s="90">
        <v>174.0</v>
      </c>
      <c r="B178" s="139">
        <v>45982.0</v>
      </c>
      <c r="C178" s="93">
        <v>107.0</v>
      </c>
      <c r="D178" s="93">
        <v>132.0</v>
      </c>
      <c r="E178" s="93" t="s">
        <v>323</v>
      </c>
      <c r="F178" s="93" t="s">
        <v>325</v>
      </c>
      <c r="G178" s="139">
        <v>45982.0</v>
      </c>
      <c r="H178" s="159" t="s">
        <v>69</v>
      </c>
      <c r="I178" s="90"/>
    </row>
    <row r="179" ht="13.5" customHeight="1">
      <c r="A179" s="90">
        <v>175.0</v>
      </c>
      <c r="B179" s="139">
        <v>45982.0</v>
      </c>
      <c r="C179" s="93">
        <v>107.0</v>
      </c>
      <c r="D179" s="93">
        <v>134.0</v>
      </c>
      <c r="E179" s="93" t="s">
        <v>323</v>
      </c>
      <c r="F179" s="93" t="s">
        <v>325</v>
      </c>
      <c r="G179" s="139">
        <v>45982.0</v>
      </c>
      <c r="H179" s="159" t="s">
        <v>69</v>
      </c>
      <c r="I179" s="90"/>
    </row>
    <row r="180" ht="13.5" customHeight="1">
      <c r="A180" s="90">
        <v>176.0</v>
      </c>
      <c r="B180" s="139">
        <v>45982.0</v>
      </c>
      <c r="C180" s="93">
        <v>118.0</v>
      </c>
      <c r="D180" s="93">
        <v>89.0</v>
      </c>
      <c r="E180" s="93" t="s">
        <v>323</v>
      </c>
      <c r="F180" s="90" t="s">
        <v>328</v>
      </c>
      <c r="G180" s="139">
        <v>45993.0</v>
      </c>
      <c r="H180" s="159" t="s">
        <v>69</v>
      </c>
      <c r="I180" s="93" t="s">
        <v>327</v>
      </c>
    </row>
    <row r="181" ht="13.5" customHeight="1">
      <c r="A181" s="90">
        <v>177.0</v>
      </c>
      <c r="B181" s="139">
        <v>45983.0</v>
      </c>
      <c r="C181" s="93">
        <v>3.0</v>
      </c>
      <c r="D181" s="93">
        <v>36.0</v>
      </c>
      <c r="E181" s="93" t="s">
        <v>322</v>
      </c>
      <c r="F181" s="93" t="s">
        <v>329</v>
      </c>
      <c r="G181" s="139">
        <v>45983.0</v>
      </c>
      <c r="H181" s="159" t="s">
        <v>69</v>
      </c>
      <c r="I181" s="90"/>
    </row>
    <row r="182" ht="13.5" customHeight="1">
      <c r="A182" s="90">
        <v>178.0</v>
      </c>
      <c r="B182" s="139">
        <v>45983.0</v>
      </c>
      <c r="C182" s="93">
        <v>3.0</v>
      </c>
      <c r="D182" s="93">
        <v>114.0</v>
      </c>
      <c r="E182" s="93" t="s">
        <v>322</v>
      </c>
      <c r="F182" s="93" t="s">
        <v>330</v>
      </c>
      <c r="G182" s="139">
        <v>45987.0</v>
      </c>
      <c r="H182" s="159" t="s">
        <v>69</v>
      </c>
      <c r="I182" s="93" t="s">
        <v>315</v>
      </c>
    </row>
    <row r="183" ht="13.5" customHeight="1">
      <c r="A183" s="90">
        <v>179.0</v>
      </c>
      <c r="B183" s="139">
        <v>45983.0</v>
      </c>
      <c r="C183" s="93">
        <v>8.0</v>
      </c>
      <c r="D183" s="93">
        <v>8.0</v>
      </c>
      <c r="E183" s="93" t="s">
        <v>310</v>
      </c>
      <c r="F183" s="93" t="s">
        <v>309</v>
      </c>
      <c r="G183" s="139">
        <v>45983.0</v>
      </c>
      <c r="H183" s="159" t="s">
        <v>69</v>
      </c>
      <c r="I183" s="90"/>
    </row>
    <row r="184" ht="13.5" customHeight="1">
      <c r="A184" s="90">
        <v>180.0</v>
      </c>
      <c r="B184" s="139">
        <v>45983.0</v>
      </c>
      <c r="C184" s="93">
        <v>9.0</v>
      </c>
      <c r="D184" s="93">
        <v>99.0</v>
      </c>
      <c r="E184" s="93" t="s">
        <v>322</v>
      </c>
      <c r="F184" s="93" t="s">
        <v>329</v>
      </c>
      <c r="G184" s="139">
        <v>45983.0</v>
      </c>
      <c r="H184" s="159" t="s">
        <v>69</v>
      </c>
      <c r="I184" s="90"/>
    </row>
    <row r="185" ht="13.5" customHeight="1">
      <c r="A185" s="90">
        <v>181.0</v>
      </c>
      <c r="B185" s="139">
        <v>45983.0</v>
      </c>
      <c r="C185" s="93">
        <v>38.0</v>
      </c>
      <c r="D185" s="93">
        <v>7.0</v>
      </c>
      <c r="E185" s="93" t="s">
        <v>310</v>
      </c>
      <c r="F185" s="93" t="s">
        <v>309</v>
      </c>
      <c r="G185" s="139">
        <v>45983.0</v>
      </c>
      <c r="H185" s="159" t="s">
        <v>69</v>
      </c>
      <c r="I185" s="90"/>
    </row>
    <row r="186" ht="13.5" customHeight="1">
      <c r="A186" s="90">
        <v>182.0</v>
      </c>
      <c r="B186" s="139">
        <v>45983.0</v>
      </c>
      <c r="C186" s="93">
        <v>42.0</v>
      </c>
      <c r="D186" s="93">
        <v>38.0</v>
      </c>
      <c r="E186" s="93" t="s">
        <v>322</v>
      </c>
      <c r="F186" s="92" t="s">
        <v>314</v>
      </c>
      <c r="G186" s="144">
        <v>45998.0</v>
      </c>
      <c r="H186" s="159" t="s">
        <v>69</v>
      </c>
      <c r="I186" s="93" t="s">
        <v>315</v>
      </c>
    </row>
    <row r="187" ht="13.5" customHeight="1">
      <c r="A187" s="90">
        <v>183.0</v>
      </c>
      <c r="B187" s="139">
        <v>45983.0</v>
      </c>
      <c r="C187" s="93">
        <v>42.0</v>
      </c>
      <c r="D187" s="93">
        <v>97.0</v>
      </c>
      <c r="E187" s="93" t="s">
        <v>322</v>
      </c>
      <c r="F187" s="93" t="s">
        <v>329</v>
      </c>
      <c r="G187" s="139">
        <v>45983.0</v>
      </c>
      <c r="H187" s="159" t="s">
        <v>69</v>
      </c>
      <c r="I187" s="90"/>
    </row>
    <row r="188" ht="13.5" customHeight="1">
      <c r="A188" s="90">
        <v>184.0</v>
      </c>
      <c r="B188" s="139">
        <v>45983.0</v>
      </c>
      <c r="C188" s="93">
        <v>43.0</v>
      </c>
      <c r="D188" s="93">
        <v>16.0</v>
      </c>
      <c r="E188" s="93" t="s">
        <v>310</v>
      </c>
      <c r="F188" s="93" t="s">
        <v>309</v>
      </c>
      <c r="G188" s="139">
        <v>45983.0</v>
      </c>
      <c r="H188" s="159" t="s">
        <v>69</v>
      </c>
      <c r="I188" s="90"/>
    </row>
    <row r="189" ht="13.5" customHeight="1">
      <c r="A189" s="90">
        <v>185.0</v>
      </c>
      <c r="B189" s="139">
        <v>45983.0</v>
      </c>
      <c r="C189" s="93">
        <v>43.0</v>
      </c>
      <c r="D189" s="93">
        <v>78.0</v>
      </c>
      <c r="E189" s="93" t="s">
        <v>322</v>
      </c>
      <c r="F189" s="92" t="s">
        <v>314</v>
      </c>
      <c r="G189" s="144">
        <v>46000.0</v>
      </c>
      <c r="H189" s="159" t="s">
        <v>69</v>
      </c>
      <c r="I189" s="93" t="s">
        <v>315</v>
      </c>
    </row>
    <row r="190" ht="13.5" customHeight="1">
      <c r="A190" s="90">
        <v>186.0</v>
      </c>
      <c r="B190" s="139">
        <v>45983.0</v>
      </c>
      <c r="C190" s="93">
        <v>47.0</v>
      </c>
      <c r="D190" s="93">
        <v>14.0</v>
      </c>
      <c r="E190" s="93" t="s">
        <v>316</v>
      </c>
      <c r="F190" s="93" t="s">
        <v>309</v>
      </c>
      <c r="G190" s="139">
        <v>45983.0</v>
      </c>
      <c r="H190" s="159" t="s">
        <v>69</v>
      </c>
      <c r="I190" s="90"/>
    </row>
    <row r="191" ht="13.5" customHeight="1">
      <c r="A191" s="90">
        <v>187.0</v>
      </c>
      <c r="B191" s="139">
        <v>45983.0</v>
      </c>
      <c r="C191" s="93">
        <v>47.0</v>
      </c>
      <c r="D191" s="93">
        <v>140.0</v>
      </c>
      <c r="E191" s="93" t="s">
        <v>316</v>
      </c>
      <c r="F191" s="93" t="s">
        <v>331</v>
      </c>
      <c r="G191" s="139">
        <v>45983.0</v>
      </c>
      <c r="H191" s="159" t="s">
        <v>69</v>
      </c>
      <c r="I191" s="90"/>
    </row>
    <row r="192" ht="13.5" customHeight="1">
      <c r="A192" s="90">
        <v>188.0</v>
      </c>
      <c r="B192" s="139">
        <v>45983.0</v>
      </c>
      <c r="C192" s="93">
        <v>47.0</v>
      </c>
      <c r="D192" s="93">
        <v>141.0</v>
      </c>
      <c r="E192" s="93" t="s">
        <v>316</v>
      </c>
      <c r="F192" s="93" t="s">
        <v>331</v>
      </c>
      <c r="G192" s="139">
        <v>45983.0</v>
      </c>
      <c r="H192" s="159" t="s">
        <v>69</v>
      </c>
      <c r="I192" s="90"/>
    </row>
    <row r="193" ht="13.5" customHeight="1">
      <c r="A193" s="90">
        <v>189.0</v>
      </c>
      <c r="B193" s="139">
        <v>45983.0</v>
      </c>
      <c r="C193" s="93">
        <v>47.0</v>
      </c>
      <c r="D193" s="93">
        <v>142.0</v>
      </c>
      <c r="E193" s="93" t="s">
        <v>316</v>
      </c>
      <c r="F193" s="93" t="s">
        <v>331</v>
      </c>
      <c r="G193" s="139">
        <v>45983.0</v>
      </c>
      <c r="H193" s="159" t="s">
        <v>69</v>
      </c>
      <c r="I193" s="90"/>
    </row>
    <row r="194" ht="13.5" customHeight="1">
      <c r="A194" s="90">
        <v>190.0</v>
      </c>
      <c r="B194" s="139">
        <v>45983.0</v>
      </c>
      <c r="C194" s="93">
        <v>48.0</v>
      </c>
      <c r="D194" s="93">
        <v>12.0</v>
      </c>
      <c r="E194" s="93" t="s">
        <v>310</v>
      </c>
      <c r="F194" s="93" t="s">
        <v>309</v>
      </c>
      <c r="G194" s="139">
        <v>45983.0</v>
      </c>
      <c r="H194" s="159" t="s">
        <v>69</v>
      </c>
      <c r="I194" s="90"/>
    </row>
    <row r="195" ht="13.5" customHeight="1">
      <c r="A195" s="90">
        <v>191.0</v>
      </c>
      <c r="B195" s="139">
        <v>45983.0</v>
      </c>
      <c r="C195" s="93">
        <v>53.0</v>
      </c>
      <c r="D195" s="93">
        <v>122.0</v>
      </c>
      <c r="E195" s="93" t="s">
        <v>322</v>
      </c>
      <c r="F195" s="93" t="s">
        <v>329</v>
      </c>
      <c r="G195" s="139">
        <v>45983.0</v>
      </c>
      <c r="H195" s="159" t="s">
        <v>69</v>
      </c>
      <c r="I195" s="90"/>
    </row>
    <row r="196" ht="13.5" customHeight="1">
      <c r="A196" s="90">
        <v>192.0</v>
      </c>
      <c r="B196" s="139">
        <v>45983.0</v>
      </c>
      <c r="C196" s="93">
        <v>56.0</v>
      </c>
      <c r="D196" s="93">
        <v>71.0</v>
      </c>
      <c r="E196" s="93" t="s">
        <v>322</v>
      </c>
      <c r="F196" s="93" t="s">
        <v>330</v>
      </c>
      <c r="G196" s="139">
        <v>45987.0</v>
      </c>
      <c r="H196" s="159" t="s">
        <v>69</v>
      </c>
      <c r="I196" s="93" t="s">
        <v>315</v>
      </c>
    </row>
    <row r="197" ht="13.5" customHeight="1">
      <c r="A197" s="90">
        <v>193.0</v>
      </c>
      <c r="B197" s="139">
        <v>45983.0</v>
      </c>
      <c r="C197" s="93">
        <v>58.0</v>
      </c>
      <c r="D197" s="93">
        <v>43.0</v>
      </c>
      <c r="E197" s="93" t="s">
        <v>322</v>
      </c>
      <c r="F197" s="90" t="s">
        <v>314</v>
      </c>
      <c r="G197" s="139">
        <v>45993.0</v>
      </c>
      <c r="H197" s="159" t="s">
        <v>69</v>
      </c>
      <c r="I197" s="93" t="s">
        <v>315</v>
      </c>
    </row>
    <row r="198" ht="13.5" customHeight="1">
      <c r="A198" s="90">
        <v>194.0</v>
      </c>
      <c r="B198" s="139">
        <v>45983.0</v>
      </c>
      <c r="C198" s="93">
        <v>66.0</v>
      </c>
      <c r="D198" s="93">
        <v>52.0</v>
      </c>
      <c r="E198" s="93" t="s">
        <v>322</v>
      </c>
      <c r="F198" s="90" t="s">
        <v>285</v>
      </c>
      <c r="G198" s="139">
        <v>45987.0</v>
      </c>
      <c r="H198" s="159" t="s">
        <v>69</v>
      </c>
      <c r="I198" s="93" t="s">
        <v>321</v>
      </c>
    </row>
    <row r="199" ht="13.5" customHeight="1">
      <c r="A199" s="90">
        <v>195.0</v>
      </c>
      <c r="B199" s="139">
        <v>45983.0</v>
      </c>
      <c r="C199" s="93">
        <v>68.0</v>
      </c>
      <c r="D199" s="93">
        <v>113.0</v>
      </c>
      <c r="E199" s="93" t="s">
        <v>322</v>
      </c>
      <c r="F199" s="93" t="s">
        <v>329</v>
      </c>
      <c r="G199" s="139">
        <v>45983.0</v>
      </c>
      <c r="H199" s="159" t="s">
        <v>69</v>
      </c>
      <c r="I199" s="90"/>
    </row>
    <row r="200" ht="13.5" customHeight="1">
      <c r="A200" s="90">
        <v>196.0</v>
      </c>
      <c r="B200" s="139">
        <v>45983.0</v>
      </c>
      <c r="C200" s="93">
        <v>80.0</v>
      </c>
      <c r="D200" s="93">
        <v>52.0</v>
      </c>
      <c r="E200" s="93" t="s">
        <v>310</v>
      </c>
      <c r="F200" s="93" t="s">
        <v>325</v>
      </c>
      <c r="G200" s="139">
        <v>45983.0</v>
      </c>
      <c r="H200" s="159" t="s">
        <v>69</v>
      </c>
      <c r="I200" s="90"/>
    </row>
    <row r="201" ht="13.5" customHeight="1">
      <c r="A201" s="90">
        <v>197.0</v>
      </c>
      <c r="B201" s="139">
        <v>45983.0</v>
      </c>
      <c r="C201" s="93">
        <v>86.0</v>
      </c>
      <c r="D201" s="93">
        <v>101.0</v>
      </c>
      <c r="E201" s="93" t="s">
        <v>316</v>
      </c>
      <c r="F201" s="93" t="s">
        <v>309</v>
      </c>
      <c r="G201" s="139">
        <v>45983.0</v>
      </c>
      <c r="H201" s="159" t="s">
        <v>69</v>
      </c>
      <c r="I201" s="90"/>
    </row>
    <row r="202" ht="13.5" customHeight="1">
      <c r="A202" s="90">
        <v>198.0</v>
      </c>
      <c r="B202" s="139">
        <v>45983.0</v>
      </c>
      <c r="C202" s="93">
        <v>94.0</v>
      </c>
      <c r="D202" s="93">
        <v>129.0</v>
      </c>
      <c r="E202" s="93" t="s">
        <v>310</v>
      </c>
      <c r="F202" s="93" t="s">
        <v>309</v>
      </c>
      <c r="G202" s="139">
        <v>45983.0</v>
      </c>
      <c r="H202" s="159" t="s">
        <v>69</v>
      </c>
      <c r="I202" s="90"/>
    </row>
    <row r="203" ht="13.5" customHeight="1">
      <c r="A203" s="90">
        <v>199.0</v>
      </c>
      <c r="B203" s="139">
        <v>45983.0</v>
      </c>
      <c r="C203" s="93">
        <v>104.0</v>
      </c>
      <c r="D203" s="93">
        <v>32.0</v>
      </c>
      <c r="E203" s="93" t="s">
        <v>316</v>
      </c>
      <c r="F203" s="93" t="s">
        <v>331</v>
      </c>
      <c r="G203" s="139">
        <v>45983.0</v>
      </c>
      <c r="H203" s="159" t="s">
        <v>69</v>
      </c>
      <c r="I203" s="90"/>
    </row>
    <row r="204" ht="13.5" customHeight="1">
      <c r="A204" s="90">
        <v>200.0</v>
      </c>
      <c r="B204" s="139">
        <v>45983.0</v>
      </c>
      <c r="C204" s="93">
        <v>104.0</v>
      </c>
      <c r="D204" s="93">
        <v>116.0</v>
      </c>
      <c r="E204" s="93" t="s">
        <v>310</v>
      </c>
      <c r="F204" s="93" t="s">
        <v>309</v>
      </c>
      <c r="G204" s="139">
        <v>45983.0</v>
      </c>
      <c r="H204" s="159" t="s">
        <v>69</v>
      </c>
      <c r="I204" s="90"/>
    </row>
    <row r="205" ht="13.5" customHeight="1">
      <c r="A205" s="90">
        <v>201.0</v>
      </c>
      <c r="B205" s="139">
        <v>45983.0</v>
      </c>
      <c r="C205" s="93">
        <v>107.0</v>
      </c>
      <c r="D205" s="93">
        <v>96.0</v>
      </c>
      <c r="E205" s="93" t="s">
        <v>316</v>
      </c>
      <c r="F205" s="93" t="s">
        <v>309</v>
      </c>
      <c r="G205" s="139">
        <v>45983.0</v>
      </c>
      <c r="H205" s="159" t="s">
        <v>69</v>
      </c>
      <c r="I205" s="90"/>
    </row>
    <row r="206" ht="13.5" customHeight="1">
      <c r="A206" s="90">
        <v>202.0</v>
      </c>
      <c r="B206" s="139">
        <v>45983.0</v>
      </c>
      <c r="C206" s="93">
        <v>107.0</v>
      </c>
      <c r="D206" s="93">
        <v>110.0</v>
      </c>
      <c r="E206" s="93" t="s">
        <v>316</v>
      </c>
      <c r="F206" s="93" t="s">
        <v>309</v>
      </c>
      <c r="G206" s="139">
        <v>45983.0</v>
      </c>
      <c r="H206" s="159" t="s">
        <v>69</v>
      </c>
      <c r="I206" s="90"/>
    </row>
    <row r="207" ht="13.5" customHeight="1">
      <c r="A207" s="90">
        <v>203.0</v>
      </c>
      <c r="B207" s="139">
        <v>45983.0</v>
      </c>
      <c r="C207" s="93">
        <v>107.0</v>
      </c>
      <c r="D207" s="93">
        <v>112.0</v>
      </c>
      <c r="E207" s="93" t="s">
        <v>316</v>
      </c>
      <c r="F207" s="93" t="s">
        <v>309</v>
      </c>
      <c r="G207" s="139">
        <v>45983.0</v>
      </c>
      <c r="H207" s="159" t="s">
        <v>69</v>
      </c>
      <c r="I207" s="90"/>
    </row>
    <row r="208" ht="13.5" customHeight="1">
      <c r="A208" s="90">
        <v>204.0</v>
      </c>
      <c r="B208" s="139">
        <v>45983.0</v>
      </c>
      <c r="C208" s="93">
        <v>107.0</v>
      </c>
      <c r="D208" s="93">
        <v>113.0</v>
      </c>
      <c r="E208" s="93" t="s">
        <v>316</v>
      </c>
      <c r="F208" s="93" t="s">
        <v>309</v>
      </c>
      <c r="G208" s="139">
        <v>45983.0</v>
      </c>
      <c r="H208" s="159" t="s">
        <v>69</v>
      </c>
      <c r="I208" s="90"/>
    </row>
    <row r="209" ht="13.5" customHeight="1">
      <c r="A209" s="90">
        <v>205.0</v>
      </c>
      <c r="B209" s="139">
        <v>45983.0</v>
      </c>
      <c r="C209" s="93">
        <v>107.0</v>
      </c>
      <c r="D209" s="93">
        <v>122.0</v>
      </c>
      <c r="E209" s="93" t="s">
        <v>316</v>
      </c>
      <c r="F209" s="93" t="s">
        <v>309</v>
      </c>
      <c r="G209" s="139">
        <v>45983.0</v>
      </c>
      <c r="H209" s="159" t="s">
        <v>69</v>
      </c>
      <c r="I209" s="90"/>
    </row>
    <row r="210" ht="13.5" customHeight="1">
      <c r="A210" s="90">
        <v>206.0</v>
      </c>
      <c r="B210" s="139">
        <v>45983.0</v>
      </c>
      <c r="C210" s="93">
        <v>107.0</v>
      </c>
      <c r="D210" s="93">
        <v>124.0</v>
      </c>
      <c r="E210" s="93" t="s">
        <v>316</v>
      </c>
      <c r="F210" s="93" t="s">
        <v>309</v>
      </c>
      <c r="G210" s="139">
        <v>45983.0</v>
      </c>
      <c r="H210" s="159" t="s">
        <v>69</v>
      </c>
      <c r="I210" s="90"/>
    </row>
    <row r="211" ht="13.5" customHeight="1">
      <c r="A211" s="90">
        <v>207.0</v>
      </c>
      <c r="B211" s="139">
        <v>45983.0</v>
      </c>
      <c r="C211" s="93">
        <v>107.0</v>
      </c>
      <c r="D211" s="93">
        <v>126.0</v>
      </c>
      <c r="E211" s="93" t="s">
        <v>316</v>
      </c>
      <c r="F211" s="93" t="s">
        <v>309</v>
      </c>
      <c r="G211" s="139">
        <v>45983.0</v>
      </c>
      <c r="H211" s="159" t="s">
        <v>69</v>
      </c>
      <c r="I211" s="90"/>
    </row>
    <row r="212" ht="13.5" customHeight="1">
      <c r="A212" s="90">
        <v>208.0</v>
      </c>
      <c r="B212" s="139">
        <v>45983.0</v>
      </c>
      <c r="C212" s="93">
        <v>107.0</v>
      </c>
      <c r="D212" s="93">
        <v>131.0</v>
      </c>
      <c r="E212" s="93" t="s">
        <v>316</v>
      </c>
      <c r="F212" s="93" t="s">
        <v>309</v>
      </c>
      <c r="G212" s="139">
        <v>45983.0</v>
      </c>
      <c r="H212" s="159" t="s">
        <v>69</v>
      </c>
      <c r="I212" s="90"/>
    </row>
    <row r="213" ht="13.5" customHeight="1">
      <c r="A213" s="90">
        <v>209.0</v>
      </c>
      <c r="B213" s="139">
        <v>45983.0</v>
      </c>
      <c r="C213" s="93">
        <v>107.0</v>
      </c>
      <c r="D213" s="93">
        <v>136.0</v>
      </c>
      <c r="E213" s="93" t="s">
        <v>316</v>
      </c>
      <c r="F213" s="93" t="s">
        <v>309</v>
      </c>
      <c r="G213" s="139">
        <v>45983.0</v>
      </c>
      <c r="H213" s="159" t="s">
        <v>69</v>
      </c>
      <c r="I213" s="90"/>
    </row>
    <row r="214" ht="13.5" customHeight="1">
      <c r="A214" s="90">
        <v>210.0</v>
      </c>
      <c r="B214" s="139">
        <v>45983.0</v>
      </c>
      <c r="C214" s="93">
        <v>107.0</v>
      </c>
      <c r="D214" s="93">
        <v>139.0</v>
      </c>
      <c r="E214" s="93" t="s">
        <v>316</v>
      </c>
      <c r="F214" s="93" t="s">
        <v>309</v>
      </c>
      <c r="G214" s="139">
        <v>45983.0</v>
      </c>
      <c r="H214" s="159" t="s">
        <v>69</v>
      </c>
      <c r="I214" s="90"/>
    </row>
    <row r="215" ht="13.5" customHeight="1">
      <c r="A215" s="90">
        <v>211.0</v>
      </c>
      <c r="B215" s="139">
        <v>45983.0</v>
      </c>
      <c r="C215" s="93">
        <v>117.0</v>
      </c>
      <c r="D215" s="93">
        <v>121.0</v>
      </c>
      <c r="E215" s="93" t="s">
        <v>310</v>
      </c>
      <c r="F215" s="93" t="s">
        <v>309</v>
      </c>
      <c r="G215" s="139">
        <v>45983.0</v>
      </c>
      <c r="H215" s="159" t="s">
        <v>69</v>
      </c>
      <c r="I215" s="90"/>
    </row>
    <row r="216" ht="13.5" customHeight="1">
      <c r="A216" s="90">
        <v>212.0</v>
      </c>
      <c r="B216" s="139">
        <v>45983.0</v>
      </c>
      <c r="C216" s="93">
        <v>121.0</v>
      </c>
      <c r="D216" s="93">
        <v>48.0</v>
      </c>
      <c r="E216" s="93" t="s">
        <v>322</v>
      </c>
      <c r="F216" s="93" t="s">
        <v>309</v>
      </c>
      <c r="G216" s="139">
        <v>45983.0</v>
      </c>
      <c r="H216" s="159" t="s">
        <v>69</v>
      </c>
      <c r="I216" s="90"/>
    </row>
    <row r="217" ht="13.5" customHeight="1">
      <c r="A217" s="90">
        <v>213.0</v>
      </c>
      <c r="B217" s="139">
        <v>45984.0</v>
      </c>
      <c r="C217" s="93">
        <v>2.0</v>
      </c>
      <c r="D217" s="93">
        <v>68.0</v>
      </c>
      <c r="E217" s="93" t="s">
        <v>322</v>
      </c>
      <c r="F217" s="93" t="s">
        <v>329</v>
      </c>
      <c r="G217" s="160">
        <v>45984.0</v>
      </c>
      <c r="H217" s="159" t="s">
        <v>69</v>
      </c>
      <c r="I217" s="90"/>
    </row>
    <row r="218" ht="13.5" customHeight="1">
      <c r="A218" s="90">
        <v>214.0</v>
      </c>
      <c r="B218" s="139">
        <v>45984.0</v>
      </c>
      <c r="C218" s="93">
        <v>2.0</v>
      </c>
      <c r="D218" s="93">
        <v>71.0</v>
      </c>
      <c r="E218" s="93" t="s">
        <v>322</v>
      </c>
      <c r="F218" s="93" t="s">
        <v>329</v>
      </c>
      <c r="G218" s="160">
        <v>45984.0</v>
      </c>
      <c r="H218" s="159" t="s">
        <v>69</v>
      </c>
      <c r="I218" s="90"/>
    </row>
    <row r="219" ht="13.5" customHeight="1">
      <c r="A219" s="90">
        <v>215.0</v>
      </c>
      <c r="B219" s="139">
        <v>45984.0</v>
      </c>
      <c r="C219" s="93">
        <v>8.0</v>
      </c>
      <c r="D219" s="93">
        <v>8.0</v>
      </c>
      <c r="E219" s="93" t="s">
        <v>322</v>
      </c>
      <c r="F219" s="93" t="s">
        <v>329</v>
      </c>
      <c r="G219" s="160">
        <v>45984.0</v>
      </c>
      <c r="H219" s="159" t="s">
        <v>69</v>
      </c>
      <c r="I219" s="90"/>
    </row>
    <row r="220" ht="13.5" customHeight="1">
      <c r="A220" s="90">
        <v>216.0</v>
      </c>
      <c r="B220" s="139">
        <v>45984.0</v>
      </c>
      <c r="C220" s="93">
        <v>9.0</v>
      </c>
      <c r="D220" s="93">
        <v>111.0</v>
      </c>
      <c r="E220" s="93" t="s">
        <v>323</v>
      </c>
      <c r="F220" s="92" t="s">
        <v>314</v>
      </c>
      <c r="G220" s="144">
        <v>45998.0</v>
      </c>
      <c r="H220" s="159" t="s">
        <v>69</v>
      </c>
      <c r="I220" s="93" t="s">
        <v>332</v>
      </c>
    </row>
    <row r="221" ht="13.5" customHeight="1">
      <c r="A221" s="90">
        <v>217.0</v>
      </c>
      <c r="B221" s="139">
        <v>45984.0</v>
      </c>
      <c r="C221" s="93">
        <v>22.0</v>
      </c>
      <c r="D221" s="93">
        <v>44.0</v>
      </c>
      <c r="E221" s="93" t="s">
        <v>310</v>
      </c>
      <c r="F221" s="93" t="s">
        <v>309</v>
      </c>
      <c r="G221" s="160">
        <v>45984.0</v>
      </c>
      <c r="H221" s="159" t="s">
        <v>69</v>
      </c>
      <c r="I221" s="90"/>
    </row>
    <row r="222" ht="13.5" customHeight="1">
      <c r="A222" s="90">
        <v>218.0</v>
      </c>
      <c r="B222" s="139">
        <v>45984.0</v>
      </c>
      <c r="C222" s="93">
        <v>38.0</v>
      </c>
      <c r="D222" s="93">
        <v>7.0</v>
      </c>
      <c r="E222" s="93" t="s">
        <v>322</v>
      </c>
      <c r="F222" s="93" t="s">
        <v>329</v>
      </c>
      <c r="G222" s="160">
        <v>45984.0</v>
      </c>
      <c r="H222" s="159" t="s">
        <v>69</v>
      </c>
      <c r="I222" s="90"/>
    </row>
    <row r="223" ht="13.5" customHeight="1">
      <c r="A223" s="90">
        <v>219.0</v>
      </c>
      <c r="B223" s="139">
        <v>45984.0</v>
      </c>
      <c r="C223" s="93">
        <v>38.0</v>
      </c>
      <c r="D223" s="93">
        <v>46.0</v>
      </c>
      <c r="E223" s="93" t="s">
        <v>323</v>
      </c>
      <c r="F223" s="92" t="s">
        <v>314</v>
      </c>
      <c r="G223" s="144">
        <v>45998.0</v>
      </c>
      <c r="H223" s="159" t="s">
        <v>69</v>
      </c>
      <c r="I223" s="93" t="s">
        <v>332</v>
      </c>
    </row>
    <row r="224" ht="13.5" customHeight="1">
      <c r="A224" s="90">
        <v>220.0</v>
      </c>
      <c r="B224" s="139">
        <v>45984.0</v>
      </c>
      <c r="C224" s="93">
        <v>43.0</v>
      </c>
      <c r="D224" s="93">
        <v>16.0</v>
      </c>
      <c r="E224" s="93" t="s">
        <v>322</v>
      </c>
      <c r="F224" s="93" t="s">
        <v>329</v>
      </c>
      <c r="G224" s="160">
        <v>45984.0</v>
      </c>
      <c r="H224" s="159" t="s">
        <v>69</v>
      </c>
      <c r="I224" s="90"/>
    </row>
    <row r="225" ht="13.5" customHeight="1">
      <c r="A225" s="90">
        <v>221.0</v>
      </c>
      <c r="B225" s="139">
        <v>45984.0</v>
      </c>
      <c r="C225" s="93">
        <v>48.0</v>
      </c>
      <c r="D225" s="93">
        <v>12.0</v>
      </c>
      <c r="E225" s="93" t="s">
        <v>322</v>
      </c>
      <c r="F225" s="90" t="s">
        <v>314</v>
      </c>
      <c r="G225" s="139">
        <v>45993.0</v>
      </c>
      <c r="H225" s="159" t="s">
        <v>69</v>
      </c>
      <c r="I225" s="93" t="s">
        <v>333</v>
      </c>
    </row>
    <row r="226" ht="13.5" customHeight="1">
      <c r="A226" s="90">
        <v>222.0</v>
      </c>
      <c r="B226" s="139">
        <v>45984.0</v>
      </c>
      <c r="C226" s="93">
        <v>64.0</v>
      </c>
      <c r="D226" s="93">
        <v>20.0</v>
      </c>
      <c r="E226" s="93" t="s">
        <v>322</v>
      </c>
      <c r="F226" s="90" t="s">
        <v>329</v>
      </c>
      <c r="G226" s="160">
        <v>45984.0</v>
      </c>
      <c r="H226" s="159" t="s">
        <v>69</v>
      </c>
      <c r="I226" s="90"/>
    </row>
    <row r="227" ht="13.5" customHeight="1">
      <c r="A227" s="90">
        <v>223.0</v>
      </c>
      <c r="B227" s="139">
        <v>45984.0</v>
      </c>
      <c r="C227" s="93">
        <v>68.0</v>
      </c>
      <c r="D227" s="93">
        <v>113.0</v>
      </c>
      <c r="E227" s="93" t="s">
        <v>310</v>
      </c>
      <c r="F227" s="90" t="s">
        <v>309</v>
      </c>
      <c r="G227" s="160">
        <v>45984.0</v>
      </c>
      <c r="H227" s="159" t="s">
        <v>69</v>
      </c>
      <c r="I227" s="90"/>
    </row>
    <row r="228" ht="13.5" customHeight="1">
      <c r="A228" s="90">
        <v>224.0</v>
      </c>
      <c r="B228" s="139">
        <v>45984.0</v>
      </c>
      <c r="C228" s="93">
        <v>80.0</v>
      </c>
      <c r="D228" s="93">
        <v>54.0</v>
      </c>
      <c r="E228" s="93" t="s">
        <v>323</v>
      </c>
      <c r="F228" s="90" t="s">
        <v>309</v>
      </c>
      <c r="G228" s="160">
        <v>45984.0</v>
      </c>
      <c r="H228" s="159" t="s">
        <v>69</v>
      </c>
      <c r="I228" s="90"/>
    </row>
    <row r="229" ht="13.5" customHeight="1">
      <c r="A229" s="90">
        <v>225.0</v>
      </c>
      <c r="B229" s="139">
        <v>45984.0</v>
      </c>
      <c r="C229" s="93">
        <v>94.0</v>
      </c>
      <c r="D229" s="93">
        <v>129.0</v>
      </c>
      <c r="E229" s="93" t="s">
        <v>323</v>
      </c>
      <c r="F229" s="90" t="s">
        <v>309</v>
      </c>
      <c r="G229" s="160">
        <v>45984.0</v>
      </c>
      <c r="H229" s="159" t="s">
        <v>69</v>
      </c>
      <c r="I229" s="90"/>
    </row>
    <row r="230" ht="13.5" customHeight="1">
      <c r="A230" s="90">
        <v>226.0</v>
      </c>
      <c r="B230" s="139">
        <v>45984.0</v>
      </c>
      <c r="C230" s="93">
        <v>107.0</v>
      </c>
      <c r="D230" s="93">
        <v>97.0</v>
      </c>
      <c r="E230" s="93" t="s">
        <v>323</v>
      </c>
      <c r="F230" s="90" t="s">
        <v>309</v>
      </c>
      <c r="G230" s="160">
        <v>45984.0</v>
      </c>
      <c r="H230" s="159" t="s">
        <v>69</v>
      </c>
      <c r="I230" s="90"/>
    </row>
    <row r="231" ht="13.5" customHeight="1">
      <c r="A231" s="90">
        <v>227.0</v>
      </c>
      <c r="B231" s="139">
        <v>45984.0</v>
      </c>
      <c r="C231" s="93">
        <v>107.0</v>
      </c>
      <c r="D231" s="93">
        <v>116.0</v>
      </c>
      <c r="E231" s="93" t="s">
        <v>310</v>
      </c>
      <c r="F231" s="90" t="s">
        <v>309</v>
      </c>
      <c r="G231" s="160">
        <v>45984.0</v>
      </c>
      <c r="H231" s="159" t="s">
        <v>69</v>
      </c>
      <c r="I231" s="90"/>
    </row>
    <row r="232" ht="13.5" customHeight="1">
      <c r="A232" s="90">
        <v>228.0</v>
      </c>
      <c r="B232" s="139">
        <v>45984.0</v>
      </c>
      <c r="C232" s="93">
        <v>115.0</v>
      </c>
      <c r="D232" s="93">
        <v>15.0</v>
      </c>
      <c r="E232" s="93" t="s">
        <v>310</v>
      </c>
      <c r="F232" s="92" t="s">
        <v>314</v>
      </c>
      <c r="G232" s="144">
        <v>45995.0</v>
      </c>
      <c r="H232" s="159" t="s">
        <v>69</v>
      </c>
      <c r="I232" s="93" t="s">
        <v>333</v>
      </c>
    </row>
    <row r="233" ht="13.5" customHeight="1">
      <c r="A233" s="90">
        <v>229.0</v>
      </c>
      <c r="B233" s="139">
        <v>45984.0</v>
      </c>
      <c r="C233" s="93">
        <v>117.0</v>
      </c>
      <c r="D233" s="93">
        <v>121.0</v>
      </c>
      <c r="E233" s="93" t="s">
        <v>323</v>
      </c>
      <c r="F233" s="90" t="s">
        <v>285</v>
      </c>
      <c r="G233" s="139">
        <v>45987.0</v>
      </c>
      <c r="H233" s="159" t="s">
        <v>69</v>
      </c>
      <c r="I233" s="93" t="s">
        <v>333</v>
      </c>
    </row>
    <row r="234" ht="13.5" customHeight="1">
      <c r="A234" s="90">
        <v>230.0</v>
      </c>
      <c r="B234" s="161">
        <v>45984.0</v>
      </c>
      <c r="C234" s="140">
        <v>121.0</v>
      </c>
      <c r="D234" s="140">
        <v>48.0</v>
      </c>
      <c r="E234" s="140" t="s">
        <v>334</v>
      </c>
      <c r="F234" s="162" t="s">
        <v>309</v>
      </c>
      <c r="G234" s="163">
        <v>45984.0</v>
      </c>
      <c r="H234" s="159" t="s">
        <v>69</v>
      </c>
      <c r="I234" s="162"/>
    </row>
    <row r="235" ht="13.5" customHeight="1">
      <c r="A235" s="90">
        <v>231.0</v>
      </c>
      <c r="B235" s="139">
        <v>45986.0</v>
      </c>
      <c r="C235" s="93">
        <v>34.0</v>
      </c>
      <c r="D235" s="93">
        <v>127.0</v>
      </c>
      <c r="E235" s="93" t="s">
        <v>335</v>
      </c>
      <c r="F235" s="93" t="s">
        <v>309</v>
      </c>
      <c r="G235" s="139">
        <v>45986.0</v>
      </c>
      <c r="H235" s="159" t="s">
        <v>69</v>
      </c>
      <c r="I235" s="90"/>
    </row>
    <row r="236" ht="13.5" customHeight="1">
      <c r="A236" s="90">
        <v>232.0</v>
      </c>
      <c r="B236" s="139">
        <v>45986.0</v>
      </c>
      <c r="C236" s="93">
        <v>37.0</v>
      </c>
      <c r="D236" s="93">
        <v>124.0</v>
      </c>
      <c r="E236" s="93" t="s">
        <v>335</v>
      </c>
      <c r="F236" s="93" t="s">
        <v>309</v>
      </c>
      <c r="G236" s="139">
        <v>45986.0</v>
      </c>
      <c r="H236" s="159" t="s">
        <v>69</v>
      </c>
      <c r="I236" s="90"/>
    </row>
    <row r="237" ht="13.5" customHeight="1">
      <c r="A237" s="90">
        <v>233.0</v>
      </c>
      <c r="B237" s="139">
        <v>45986.0</v>
      </c>
      <c r="C237" s="93">
        <v>38.0</v>
      </c>
      <c r="D237" s="93">
        <v>7.0</v>
      </c>
      <c r="E237" s="93" t="s">
        <v>310</v>
      </c>
      <c r="F237" s="93" t="s">
        <v>309</v>
      </c>
      <c r="G237" s="139">
        <v>45986.0</v>
      </c>
      <c r="H237" s="159" t="s">
        <v>69</v>
      </c>
      <c r="I237" s="90"/>
    </row>
    <row r="238" ht="13.5" customHeight="1">
      <c r="A238" s="90">
        <v>234.0</v>
      </c>
      <c r="B238" s="139">
        <v>45986.0</v>
      </c>
      <c r="C238" s="93">
        <v>47.0</v>
      </c>
      <c r="D238" s="93">
        <v>141.0</v>
      </c>
      <c r="E238" s="93" t="s">
        <v>335</v>
      </c>
      <c r="F238" s="93" t="s">
        <v>309</v>
      </c>
      <c r="G238" s="139">
        <v>45986.0</v>
      </c>
      <c r="H238" s="159" t="s">
        <v>69</v>
      </c>
      <c r="I238" s="90"/>
    </row>
    <row r="239" ht="13.5" customHeight="1">
      <c r="A239" s="90">
        <v>235.0</v>
      </c>
      <c r="B239" s="139">
        <v>45986.0</v>
      </c>
      <c r="C239" s="93">
        <v>64.0</v>
      </c>
      <c r="D239" s="93">
        <v>20.0</v>
      </c>
      <c r="E239" s="93" t="s">
        <v>335</v>
      </c>
      <c r="F239" s="93" t="s">
        <v>309</v>
      </c>
      <c r="G239" s="139">
        <v>45986.0</v>
      </c>
      <c r="H239" s="159" t="s">
        <v>69</v>
      </c>
      <c r="I239" s="90"/>
    </row>
    <row r="240" ht="13.5" customHeight="1">
      <c r="A240" s="90">
        <v>236.0</v>
      </c>
      <c r="B240" s="139">
        <v>45986.0</v>
      </c>
      <c r="C240" s="93">
        <v>68.0</v>
      </c>
      <c r="D240" s="93">
        <v>113.0</v>
      </c>
      <c r="E240" s="93" t="s">
        <v>322</v>
      </c>
      <c r="F240" s="93" t="s">
        <v>312</v>
      </c>
      <c r="G240" s="139">
        <v>45986.0</v>
      </c>
      <c r="H240" s="159" t="s">
        <v>69</v>
      </c>
      <c r="I240" s="90"/>
    </row>
    <row r="241" ht="13.5" customHeight="1">
      <c r="A241" s="90">
        <v>237.0</v>
      </c>
      <c r="B241" s="139">
        <v>45986.0</v>
      </c>
      <c r="C241" s="93">
        <v>80.0</v>
      </c>
      <c r="D241" s="93">
        <v>95.0</v>
      </c>
      <c r="E241" s="93" t="s">
        <v>336</v>
      </c>
      <c r="F241" s="93" t="s">
        <v>325</v>
      </c>
      <c r="G241" s="139">
        <v>45986.0</v>
      </c>
      <c r="H241" s="159" t="s">
        <v>69</v>
      </c>
      <c r="I241" s="90"/>
    </row>
    <row r="242" ht="13.5" customHeight="1">
      <c r="A242" s="90">
        <v>238.0</v>
      </c>
      <c r="B242" s="139">
        <v>45986.0</v>
      </c>
      <c r="C242" s="93">
        <v>121.0</v>
      </c>
      <c r="D242" s="93">
        <v>48.0</v>
      </c>
      <c r="E242" s="93" t="s">
        <v>310</v>
      </c>
      <c r="F242" s="93" t="s">
        <v>309</v>
      </c>
      <c r="G242" s="139">
        <v>45986.0</v>
      </c>
      <c r="H242" s="159" t="s">
        <v>69</v>
      </c>
      <c r="I242" s="90"/>
    </row>
    <row r="243" ht="13.5" customHeight="1">
      <c r="A243" s="90">
        <v>239.0</v>
      </c>
      <c r="B243" s="139">
        <v>45986.0</v>
      </c>
      <c r="C243" s="93">
        <v>127.0</v>
      </c>
      <c r="D243" s="93">
        <v>76.0</v>
      </c>
      <c r="E243" s="93" t="s">
        <v>335</v>
      </c>
      <c r="F243" s="93" t="s">
        <v>309</v>
      </c>
      <c r="G243" s="139">
        <v>45986.0</v>
      </c>
      <c r="H243" s="159" t="s">
        <v>69</v>
      </c>
      <c r="I243" s="90"/>
    </row>
    <row r="244" ht="13.5" customHeight="1">
      <c r="A244" s="90">
        <v>240.0</v>
      </c>
      <c r="B244" s="139">
        <v>45987.0</v>
      </c>
      <c r="C244" s="93">
        <v>4.0</v>
      </c>
      <c r="D244" s="93">
        <v>26.0</v>
      </c>
      <c r="E244" s="93" t="s">
        <v>337</v>
      </c>
      <c r="F244" s="93" t="s">
        <v>309</v>
      </c>
      <c r="G244" s="139">
        <v>45987.0</v>
      </c>
      <c r="H244" s="159" t="s">
        <v>69</v>
      </c>
      <c r="I244" s="90"/>
    </row>
    <row r="245" ht="13.5" customHeight="1">
      <c r="A245" s="90">
        <v>241.0</v>
      </c>
      <c r="B245" s="139">
        <v>45987.0</v>
      </c>
      <c r="C245" s="93">
        <v>23.0</v>
      </c>
      <c r="D245" s="93">
        <v>22.0</v>
      </c>
      <c r="E245" s="93" t="s">
        <v>337</v>
      </c>
      <c r="F245" s="93" t="s">
        <v>309</v>
      </c>
      <c r="G245" s="139">
        <v>45987.0</v>
      </c>
      <c r="H245" s="159" t="s">
        <v>69</v>
      </c>
      <c r="I245" s="90"/>
    </row>
    <row r="246" ht="13.5" customHeight="1">
      <c r="A246" s="90">
        <v>242.0</v>
      </c>
      <c r="B246" s="139">
        <v>45987.0</v>
      </c>
      <c r="C246" s="93">
        <v>34.0</v>
      </c>
      <c r="D246" s="93">
        <v>127.0</v>
      </c>
      <c r="E246" s="90" t="s">
        <v>338</v>
      </c>
      <c r="F246" s="90" t="s">
        <v>339</v>
      </c>
      <c r="G246" s="139">
        <v>45993.0</v>
      </c>
      <c r="H246" s="159" t="s">
        <v>69</v>
      </c>
      <c r="I246" s="93" t="s">
        <v>332</v>
      </c>
    </row>
    <row r="247" ht="13.5" customHeight="1">
      <c r="A247" s="90">
        <v>243.0</v>
      </c>
      <c r="B247" s="139">
        <v>45987.0</v>
      </c>
      <c r="C247" s="93">
        <v>38.0</v>
      </c>
      <c r="D247" s="93">
        <v>6.0</v>
      </c>
      <c r="E247" s="90" t="s">
        <v>323</v>
      </c>
      <c r="F247" s="93" t="s">
        <v>309</v>
      </c>
      <c r="G247" s="139">
        <v>45987.0</v>
      </c>
      <c r="H247" s="159" t="s">
        <v>69</v>
      </c>
      <c r="I247" s="90"/>
    </row>
    <row r="248" ht="13.5" customHeight="1">
      <c r="A248" s="90">
        <v>244.0</v>
      </c>
      <c r="B248" s="139">
        <v>45987.0</v>
      </c>
      <c r="C248" s="93">
        <v>47.0</v>
      </c>
      <c r="D248" s="93">
        <v>141.0</v>
      </c>
      <c r="E248" s="90" t="s">
        <v>322</v>
      </c>
      <c r="F248" s="92" t="s">
        <v>314</v>
      </c>
      <c r="G248" s="144">
        <v>45998.0</v>
      </c>
      <c r="H248" s="159" t="s">
        <v>69</v>
      </c>
      <c r="I248" s="93" t="s">
        <v>333</v>
      </c>
    </row>
    <row r="249" ht="13.5" customHeight="1">
      <c r="A249" s="90">
        <v>245.0</v>
      </c>
      <c r="B249" s="139">
        <v>45987.0</v>
      </c>
      <c r="C249" s="93">
        <v>54.0</v>
      </c>
      <c r="D249" s="93">
        <v>55.0</v>
      </c>
      <c r="E249" s="93" t="s">
        <v>322</v>
      </c>
      <c r="F249" s="93" t="s">
        <v>320</v>
      </c>
      <c r="G249" s="139">
        <v>45987.0</v>
      </c>
      <c r="H249" s="159" t="s">
        <v>69</v>
      </c>
      <c r="I249" s="90"/>
    </row>
    <row r="250" ht="13.5" customHeight="1">
      <c r="A250" s="90">
        <v>246.0</v>
      </c>
      <c r="B250" s="139">
        <v>45987.0</v>
      </c>
      <c r="C250" s="93">
        <v>58.0</v>
      </c>
      <c r="D250" s="93">
        <v>31.0</v>
      </c>
      <c r="E250" s="90" t="s">
        <v>322</v>
      </c>
      <c r="F250" s="90" t="s">
        <v>329</v>
      </c>
      <c r="G250" s="139">
        <v>45992.0</v>
      </c>
      <c r="H250" s="159" t="s">
        <v>69</v>
      </c>
      <c r="I250" s="93" t="s">
        <v>333</v>
      </c>
    </row>
    <row r="251" ht="13.5" customHeight="1">
      <c r="A251" s="90">
        <v>247.0</v>
      </c>
      <c r="B251" s="139">
        <v>45987.0</v>
      </c>
      <c r="C251" s="93">
        <v>61.0</v>
      </c>
      <c r="D251" s="93">
        <v>134.0</v>
      </c>
      <c r="E251" s="90" t="s">
        <v>322</v>
      </c>
      <c r="F251" s="90" t="s">
        <v>314</v>
      </c>
      <c r="G251" s="139">
        <v>45993.0</v>
      </c>
      <c r="H251" s="159" t="s">
        <v>69</v>
      </c>
      <c r="I251" s="93" t="s">
        <v>332</v>
      </c>
    </row>
    <row r="252" ht="13.5" customHeight="1">
      <c r="A252" s="90">
        <v>248.0</v>
      </c>
      <c r="B252" s="139">
        <v>45987.0</v>
      </c>
      <c r="C252" s="93">
        <v>64.0</v>
      </c>
      <c r="D252" s="93">
        <v>20.0</v>
      </c>
      <c r="E252" s="90" t="s">
        <v>322</v>
      </c>
      <c r="F252" s="92" t="s">
        <v>314</v>
      </c>
      <c r="G252" s="144">
        <v>45998.0</v>
      </c>
      <c r="H252" s="159" t="s">
        <v>69</v>
      </c>
      <c r="I252" s="93" t="s">
        <v>332</v>
      </c>
    </row>
    <row r="253" ht="13.5" customHeight="1">
      <c r="A253" s="90">
        <v>249.0</v>
      </c>
      <c r="B253" s="139">
        <v>45987.0</v>
      </c>
      <c r="C253" s="93">
        <v>68.0</v>
      </c>
      <c r="D253" s="93">
        <v>113.0</v>
      </c>
      <c r="E253" s="90" t="s">
        <v>322</v>
      </c>
      <c r="F253" s="90" t="s">
        <v>329</v>
      </c>
      <c r="G253" s="139">
        <v>45992.0</v>
      </c>
      <c r="H253" s="159" t="s">
        <v>69</v>
      </c>
      <c r="I253" s="90" t="s">
        <v>340</v>
      </c>
    </row>
    <row r="254" ht="13.5" customHeight="1">
      <c r="A254" s="90">
        <v>250.0</v>
      </c>
      <c r="B254" s="139">
        <v>45987.0</v>
      </c>
      <c r="C254" s="93">
        <v>91.0</v>
      </c>
      <c r="D254" s="93">
        <v>36.0</v>
      </c>
      <c r="E254" s="93" t="s">
        <v>337</v>
      </c>
      <c r="F254" s="93" t="s">
        <v>309</v>
      </c>
      <c r="G254" s="139">
        <v>45987.0</v>
      </c>
      <c r="H254" s="159" t="s">
        <v>69</v>
      </c>
      <c r="I254" s="90"/>
    </row>
    <row r="255" ht="13.5" customHeight="1">
      <c r="A255" s="90">
        <v>251.0</v>
      </c>
      <c r="B255" s="139">
        <v>45987.0</v>
      </c>
      <c r="C255" s="93">
        <v>94.0</v>
      </c>
      <c r="D255" s="93">
        <v>129.0</v>
      </c>
      <c r="E255" s="93" t="s">
        <v>310</v>
      </c>
      <c r="F255" s="93" t="s">
        <v>309</v>
      </c>
      <c r="G255" s="139">
        <v>45987.0</v>
      </c>
      <c r="H255" s="159" t="s">
        <v>69</v>
      </c>
      <c r="I255" s="90"/>
    </row>
    <row r="256" ht="13.5" customHeight="1">
      <c r="A256" s="90">
        <v>252.0</v>
      </c>
      <c r="B256" s="139">
        <v>45987.0</v>
      </c>
      <c r="C256" s="93">
        <v>114.0</v>
      </c>
      <c r="D256" s="93">
        <v>113.0</v>
      </c>
      <c r="E256" s="93" t="s">
        <v>337</v>
      </c>
      <c r="F256" s="93" t="s">
        <v>309</v>
      </c>
      <c r="G256" s="139">
        <v>45987.0</v>
      </c>
      <c r="H256" s="159" t="s">
        <v>69</v>
      </c>
      <c r="I256" s="90"/>
    </row>
    <row r="257" ht="13.5" customHeight="1">
      <c r="A257" s="90">
        <v>253.0</v>
      </c>
      <c r="B257" s="139">
        <v>45987.0</v>
      </c>
      <c r="C257" s="93">
        <v>115.0</v>
      </c>
      <c r="D257" s="93">
        <v>32.0</v>
      </c>
      <c r="E257" s="93" t="s">
        <v>322</v>
      </c>
      <c r="F257" s="93" t="s">
        <v>320</v>
      </c>
      <c r="G257" s="139">
        <v>45987.0</v>
      </c>
      <c r="H257" s="159" t="s">
        <v>69</v>
      </c>
      <c r="I257" s="90"/>
    </row>
    <row r="258" ht="13.5" customHeight="1">
      <c r="A258" s="90">
        <v>254.0</v>
      </c>
      <c r="B258" s="139">
        <v>45987.0</v>
      </c>
      <c r="C258" s="93">
        <v>121.0</v>
      </c>
      <c r="D258" s="93">
        <v>48.0</v>
      </c>
      <c r="E258" s="93" t="s">
        <v>310</v>
      </c>
      <c r="F258" s="93" t="s">
        <v>309</v>
      </c>
      <c r="G258" s="139">
        <v>45987.0</v>
      </c>
      <c r="H258" s="159" t="s">
        <v>69</v>
      </c>
      <c r="I258" s="90"/>
    </row>
    <row r="259" ht="13.5" customHeight="1">
      <c r="A259" s="90">
        <v>255.0</v>
      </c>
      <c r="B259" s="139">
        <v>45987.0</v>
      </c>
      <c r="C259" s="93">
        <v>131.0</v>
      </c>
      <c r="D259" s="93">
        <v>109.0</v>
      </c>
      <c r="E259" s="93" t="s">
        <v>310</v>
      </c>
      <c r="F259" s="93" t="s">
        <v>309</v>
      </c>
      <c r="G259" s="139">
        <v>45987.0</v>
      </c>
      <c r="H259" s="159" t="s">
        <v>69</v>
      </c>
      <c r="I259" s="90"/>
    </row>
    <row r="260" ht="13.5" customHeight="1">
      <c r="A260" s="90">
        <v>256.0</v>
      </c>
      <c r="B260" s="139">
        <v>45988.0</v>
      </c>
      <c r="C260" s="93">
        <v>4.0</v>
      </c>
      <c r="D260" s="93">
        <v>61.0</v>
      </c>
      <c r="E260" s="93" t="s">
        <v>310</v>
      </c>
      <c r="F260" s="93" t="s">
        <v>309</v>
      </c>
      <c r="G260" s="139">
        <v>45988.0</v>
      </c>
      <c r="H260" s="159" t="s">
        <v>69</v>
      </c>
      <c r="I260" s="90"/>
    </row>
    <row r="261" ht="13.5" customHeight="1">
      <c r="A261" s="90">
        <v>257.0</v>
      </c>
      <c r="B261" s="139">
        <v>45988.0</v>
      </c>
      <c r="C261" s="93">
        <v>37.0</v>
      </c>
      <c r="D261" s="93">
        <v>124.0</v>
      </c>
      <c r="E261" s="93" t="s">
        <v>335</v>
      </c>
      <c r="F261" s="90" t="s">
        <v>309</v>
      </c>
      <c r="G261" s="139">
        <v>45988.0</v>
      </c>
      <c r="H261" s="159" t="s">
        <v>69</v>
      </c>
      <c r="I261" s="90"/>
    </row>
    <row r="262" ht="13.5" customHeight="1">
      <c r="A262" s="90">
        <v>258.0</v>
      </c>
      <c r="B262" s="139">
        <v>45988.0</v>
      </c>
      <c r="C262" s="93">
        <v>42.0</v>
      </c>
      <c r="D262" s="93">
        <v>125.0</v>
      </c>
      <c r="E262" s="93" t="s">
        <v>335</v>
      </c>
      <c r="F262" s="90" t="s">
        <v>309</v>
      </c>
      <c r="G262" s="139">
        <v>45988.0</v>
      </c>
      <c r="H262" s="159" t="s">
        <v>69</v>
      </c>
      <c r="I262" s="90"/>
    </row>
    <row r="263" ht="13.5" customHeight="1">
      <c r="A263" s="90">
        <v>259.0</v>
      </c>
      <c r="B263" s="139">
        <v>45988.0</v>
      </c>
      <c r="C263" s="93">
        <v>120.0</v>
      </c>
      <c r="D263" s="93">
        <v>133.0</v>
      </c>
      <c r="E263" s="90" t="s">
        <v>322</v>
      </c>
      <c r="F263" s="90" t="s">
        <v>309</v>
      </c>
      <c r="G263" s="139">
        <v>45991.0</v>
      </c>
      <c r="H263" s="159" t="s">
        <v>69</v>
      </c>
      <c r="I263" s="90"/>
    </row>
    <row r="264" ht="13.5" customHeight="1">
      <c r="A264" s="90">
        <v>260.0</v>
      </c>
      <c r="B264" s="139">
        <v>45989.0</v>
      </c>
      <c r="C264" s="93">
        <v>4.0</v>
      </c>
      <c r="D264" s="93">
        <v>61.0</v>
      </c>
      <c r="E264" s="90" t="s">
        <v>308</v>
      </c>
      <c r="F264" s="90" t="s">
        <v>309</v>
      </c>
      <c r="G264" s="139">
        <v>45989.0</v>
      </c>
      <c r="H264" s="159" t="s">
        <v>69</v>
      </c>
      <c r="I264" s="90"/>
    </row>
    <row r="265" ht="13.5" customHeight="1">
      <c r="A265" s="90">
        <v>261.0</v>
      </c>
      <c r="B265" s="139">
        <v>45989.0</v>
      </c>
      <c r="C265" s="93">
        <v>37.0</v>
      </c>
      <c r="D265" s="93">
        <v>124.0</v>
      </c>
      <c r="E265" s="93" t="s">
        <v>335</v>
      </c>
      <c r="F265" s="93" t="s">
        <v>341</v>
      </c>
      <c r="G265" s="139">
        <v>45989.0</v>
      </c>
      <c r="H265" s="159" t="s">
        <v>69</v>
      </c>
      <c r="I265" s="90"/>
    </row>
    <row r="266" ht="13.5" customHeight="1">
      <c r="A266" s="90">
        <v>262.0</v>
      </c>
      <c r="B266" s="139">
        <v>45989.0</v>
      </c>
      <c r="C266" s="93">
        <v>42.0</v>
      </c>
      <c r="D266" s="93">
        <v>125.0</v>
      </c>
      <c r="E266" s="93" t="s">
        <v>335</v>
      </c>
      <c r="F266" s="93" t="s">
        <v>341</v>
      </c>
      <c r="G266" s="139">
        <v>45989.0</v>
      </c>
      <c r="H266" s="159" t="s">
        <v>69</v>
      </c>
      <c r="I266" s="90"/>
    </row>
    <row r="267" ht="13.5" customHeight="1">
      <c r="A267" s="90">
        <v>263.0</v>
      </c>
      <c r="B267" s="139">
        <v>45989.0</v>
      </c>
      <c r="C267" s="93">
        <v>114.0</v>
      </c>
      <c r="D267" s="93">
        <v>113.0</v>
      </c>
      <c r="E267" s="93" t="s">
        <v>337</v>
      </c>
      <c r="F267" s="93" t="s">
        <v>309</v>
      </c>
      <c r="G267" s="139">
        <v>45989.0</v>
      </c>
      <c r="H267" s="159" t="s">
        <v>69</v>
      </c>
      <c r="I267" s="90"/>
    </row>
    <row r="268" ht="13.5" customHeight="1">
      <c r="A268" s="90">
        <v>264.0</v>
      </c>
      <c r="B268" s="139">
        <v>45989.0</v>
      </c>
      <c r="C268" s="93">
        <v>121.0</v>
      </c>
      <c r="D268" s="93">
        <v>148.0</v>
      </c>
      <c r="E268" s="93" t="s">
        <v>310</v>
      </c>
      <c r="F268" s="93" t="s">
        <v>309</v>
      </c>
      <c r="G268" s="139">
        <v>45989.0</v>
      </c>
      <c r="H268" s="159" t="s">
        <v>69</v>
      </c>
      <c r="I268" s="90"/>
    </row>
    <row r="269" ht="13.5" customHeight="1">
      <c r="A269" s="90">
        <v>265.0</v>
      </c>
      <c r="B269" s="139">
        <v>45989.0</v>
      </c>
      <c r="C269" s="93">
        <v>131.0</v>
      </c>
      <c r="D269" s="93">
        <v>109.0</v>
      </c>
      <c r="E269" s="93" t="s">
        <v>337</v>
      </c>
      <c r="F269" s="93" t="s">
        <v>309</v>
      </c>
      <c r="G269" s="139">
        <v>45989.0</v>
      </c>
      <c r="H269" s="159" t="s">
        <v>69</v>
      </c>
      <c r="I269" s="90"/>
    </row>
    <row r="270" ht="13.5" customHeight="1">
      <c r="A270" s="90">
        <v>266.0</v>
      </c>
      <c r="B270" s="139">
        <v>45991.0</v>
      </c>
      <c r="C270" s="93">
        <v>4.0</v>
      </c>
      <c r="D270" s="93">
        <v>26.0</v>
      </c>
      <c r="E270" s="93" t="s">
        <v>337</v>
      </c>
      <c r="F270" s="90" t="s">
        <v>309</v>
      </c>
      <c r="G270" s="139">
        <v>45991.0</v>
      </c>
      <c r="H270" s="159" t="s">
        <v>69</v>
      </c>
      <c r="I270" s="90"/>
    </row>
    <row r="271" ht="13.5" customHeight="1">
      <c r="A271" s="90">
        <v>267.0</v>
      </c>
      <c r="B271" s="139">
        <v>45991.0</v>
      </c>
      <c r="C271" s="93">
        <v>4.0</v>
      </c>
      <c r="D271" s="93">
        <v>61.0</v>
      </c>
      <c r="E271" s="93" t="s">
        <v>342</v>
      </c>
      <c r="F271" s="90" t="s">
        <v>309</v>
      </c>
      <c r="G271" s="139">
        <v>45991.0</v>
      </c>
      <c r="H271" s="159" t="s">
        <v>69</v>
      </c>
      <c r="I271" s="90"/>
    </row>
    <row r="272" ht="13.5" customHeight="1">
      <c r="A272" s="90">
        <v>268.0</v>
      </c>
      <c r="B272" s="139">
        <v>45991.0</v>
      </c>
      <c r="C272" s="93">
        <v>16.0</v>
      </c>
      <c r="D272" s="93">
        <v>131.0</v>
      </c>
      <c r="E272" s="93" t="s">
        <v>311</v>
      </c>
      <c r="F272" s="92" t="s">
        <v>314</v>
      </c>
      <c r="G272" s="144">
        <v>45997.0</v>
      </c>
      <c r="H272" s="159" t="s">
        <v>69</v>
      </c>
      <c r="I272" s="93" t="s">
        <v>333</v>
      </c>
    </row>
    <row r="273" ht="13.5" customHeight="1">
      <c r="A273" s="90">
        <v>269.0</v>
      </c>
      <c r="B273" s="139">
        <v>45991.0</v>
      </c>
      <c r="C273" s="93">
        <v>30.0</v>
      </c>
      <c r="D273" s="93">
        <v>2.0</v>
      </c>
      <c r="E273" s="93" t="s">
        <v>323</v>
      </c>
      <c r="F273" s="90" t="s">
        <v>309</v>
      </c>
      <c r="G273" s="139">
        <v>45991.0</v>
      </c>
      <c r="H273" s="159" t="s">
        <v>69</v>
      </c>
      <c r="I273" s="90"/>
    </row>
    <row r="274" ht="13.5" customHeight="1">
      <c r="A274" s="90">
        <v>270.0</v>
      </c>
      <c r="B274" s="139">
        <v>45991.0</v>
      </c>
      <c r="C274" s="93">
        <v>33.0</v>
      </c>
      <c r="D274" s="93">
        <v>71.0</v>
      </c>
      <c r="E274" s="93" t="s">
        <v>310</v>
      </c>
      <c r="F274" s="90" t="s">
        <v>285</v>
      </c>
      <c r="G274" s="139">
        <v>45993.0</v>
      </c>
      <c r="H274" s="159" t="s">
        <v>69</v>
      </c>
      <c r="I274" s="93" t="s">
        <v>333</v>
      </c>
    </row>
    <row r="275" ht="13.5" customHeight="1">
      <c r="A275" s="90">
        <v>271.0</v>
      </c>
      <c r="B275" s="139">
        <v>45991.0</v>
      </c>
      <c r="C275" s="93">
        <v>37.0</v>
      </c>
      <c r="D275" s="93">
        <v>71.0</v>
      </c>
      <c r="E275" s="93" t="s">
        <v>338</v>
      </c>
      <c r="F275" s="90" t="s">
        <v>309</v>
      </c>
      <c r="G275" s="139">
        <v>45991.0</v>
      </c>
      <c r="H275" s="159" t="s">
        <v>69</v>
      </c>
      <c r="I275" s="90"/>
    </row>
    <row r="276" ht="13.5" customHeight="1">
      <c r="A276" s="90">
        <v>272.0</v>
      </c>
      <c r="B276" s="139">
        <v>45991.0</v>
      </c>
      <c r="C276" s="93">
        <v>42.0</v>
      </c>
      <c r="D276" s="93">
        <v>97.0</v>
      </c>
      <c r="E276" s="93" t="s">
        <v>343</v>
      </c>
      <c r="F276" s="90" t="s">
        <v>314</v>
      </c>
      <c r="G276" s="139">
        <v>45993.0</v>
      </c>
      <c r="H276" s="159" t="s">
        <v>69</v>
      </c>
      <c r="I276" s="93" t="s">
        <v>333</v>
      </c>
    </row>
    <row r="277" ht="13.5" customHeight="1">
      <c r="A277" s="90">
        <v>273.0</v>
      </c>
      <c r="B277" s="139">
        <v>45991.0</v>
      </c>
      <c r="C277" s="93">
        <v>42.0</v>
      </c>
      <c r="D277" s="93">
        <v>125.0</v>
      </c>
      <c r="E277" s="93" t="s">
        <v>344</v>
      </c>
      <c r="F277" s="90" t="s">
        <v>314</v>
      </c>
      <c r="G277" s="139">
        <v>45993.0</v>
      </c>
      <c r="H277" s="159" t="s">
        <v>69</v>
      </c>
      <c r="I277" s="90" t="s">
        <v>345</v>
      </c>
    </row>
    <row r="278" ht="13.5" customHeight="1">
      <c r="A278" s="90">
        <v>274.0</v>
      </c>
      <c r="B278" s="139">
        <v>45991.0</v>
      </c>
      <c r="C278" s="93">
        <v>56.0</v>
      </c>
      <c r="D278" s="93">
        <v>8.0</v>
      </c>
      <c r="E278" s="93" t="s">
        <v>316</v>
      </c>
      <c r="F278" s="90" t="s">
        <v>309</v>
      </c>
      <c r="G278" s="139">
        <v>45991.0</v>
      </c>
      <c r="H278" s="159" t="s">
        <v>69</v>
      </c>
      <c r="I278" s="90"/>
    </row>
    <row r="279" ht="13.5" customHeight="1">
      <c r="A279" s="90">
        <v>275.0</v>
      </c>
      <c r="B279" s="139">
        <v>45991.0</v>
      </c>
      <c r="C279" s="93">
        <v>56.0</v>
      </c>
      <c r="D279" s="93">
        <v>63.0</v>
      </c>
      <c r="E279" s="93" t="s">
        <v>343</v>
      </c>
      <c r="F279" s="90" t="s">
        <v>329</v>
      </c>
      <c r="G279" s="139">
        <v>45991.0</v>
      </c>
      <c r="H279" s="159" t="s">
        <v>69</v>
      </c>
      <c r="I279" s="90"/>
    </row>
    <row r="280" ht="13.5" customHeight="1">
      <c r="A280" s="90">
        <v>276.0</v>
      </c>
      <c r="B280" s="139">
        <v>45991.0</v>
      </c>
      <c r="C280" s="93">
        <v>56.0</v>
      </c>
      <c r="D280" s="93">
        <v>75.0</v>
      </c>
      <c r="E280" s="93" t="s">
        <v>343</v>
      </c>
      <c r="F280" s="90" t="s">
        <v>329</v>
      </c>
      <c r="G280" s="139">
        <v>45991.0</v>
      </c>
      <c r="H280" s="159" t="s">
        <v>69</v>
      </c>
      <c r="I280" s="90"/>
    </row>
    <row r="281" ht="13.5" customHeight="1">
      <c r="A281" s="90">
        <v>277.0</v>
      </c>
      <c r="B281" s="139">
        <v>45991.0</v>
      </c>
      <c r="C281" s="93">
        <v>56.0</v>
      </c>
      <c r="D281" s="93">
        <v>140.0</v>
      </c>
      <c r="E281" s="93" t="s">
        <v>343</v>
      </c>
      <c r="F281" s="90" t="s">
        <v>329</v>
      </c>
      <c r="G281" s="139">
        <v>45991.0</v>
      </c>
      <c r="H281" s="159" t="s">
        <v>69</v>
      </c>
      <c r="I281" s="90"/>
    </row>
    <row r="282" ht="13.5" customHeight="1">
      <c r="A282" s="90">
        <v>278.0</v>
      </c>
      <c r="B282" s="139">
        <v>45991.0</v>
      </c>
      <c r="C282" s="93">
        <v>56.0</v>
      </c>
      <c r="D282" s="93">
        <v>147.0</v>
      </c>
      <c r="E282" s="93" t="s">
        <v>343</v>
      </c>
      <c r="F282" s="90" t="s">
        <v>329</v>
      </c>
      <c r="G282" s="139">
        <v>45991.0</v>
      </c>
      <c r="H282" s="159" t="s">
        <v>69</v>
      </c>
      <c r="I282" s="90"/>
    </row>
    <row r="283" ht="13.5" customHeight="1">
      <c r="A283" s="90">
        <v>279.0</v>
      </c>
      <c r="B283" s="139">
        <v>45991.0</v>
      </c>
      <c r="C283" s="93">
        <v>57.0</v>
      </c>
      <c r="D283" s="93">
        <v>29.0</v>
      </c>
      <c r="E283" s="93" t="s">
        <v>346</v>
      </c>
      <c r="F283" s="90" t="s">
        <v>309</v>
      </c>
      <c r="G283" s="139">
        <v>45991.0</v>
      </c>
      <c r="H283" s="159" t="s">
        <v>69</v>
      </c>
      <c r="I283" s="90"/>
    </row>
    <row r="284" ht="13.5" customHeight="1">
      <c r="A284" s="90">
        <v>280.0</v>
      </c>
      <c r="B284" s="139">
        <v>45991.0</v>
      </c>
      <c r="C284" s="93">
        <v>58.0</v>
      </c>
      <c r="D284" s="93">
        <v>119.0</v>
      </c>
      <c r="E284" s="93" t="s">
        <v>313</v>
      </c>
      <c r="F284" s="90" t="s">
        <v>309</v>
      </c>
      <c r="G284" s="139">
        <v>45991.0</v>
      </c>
      <c r="H284" s="159" t="s">
        <v>69</v>
      </c>
      <c r="I284" s="90"/>
    </row>
    <row r="285" ht="13.5" customHeight="1">
      <c r="A285" s="90">
        <v>281.0</v>
      </c>
      <c r="B285" s="139">
        <v>45991.0</v>
      </c>
      <c r="C285" s="93">
        <v>79.0</v>
      </c>
      <c r="D285" s="93">
        <v>62.0</v>
      </c>
      <c r="E285" s="93" t="s">
        <v>346</v>
      </c>
      <c r="F285" s="90" t="s">
        <v>309</v>
      </c>
      <c r="G285" s="139">
        <v>45991.0</v>
      </c>
      <c r="H285" s="159" t="s">
        <v>69</v>
      </c>
      <c r="I285" s="90"/>
    </row>
    <row r="286" ht="13.5" customHeight="1">
      <c r="A286" s="90">
        <v>282.0</v>
      </c>
      <c r="B286" s="139">
        <v>45991.0</v>
      </c>
      <c r="C286" s="93">
        <v>80.0</v>
      </c>
      <c r="D286" s="93">
        <v>95.0</v>
      </c>
      <c r="E286" s="93" t="s">
        <v>344</v>
      </c>
      <c r="F286" s="90" t="s">
        <v>341</v>
      </c>
      <c r="G286" s="139">
        <v>45991.0</v>
      </c>
      <c r="H286" s="159" t="s">
        <v>69</v>
      </c>
      <c r="I286" s="90"/>
    </row>
    <row r="287" ht="13.5" customHeight="1">
      <c r="A287" s="90">
        <v>283.0</v>
      </c>
      <c r="B287" s="139">
        <v>45991.0</v>
      </c>
      <c r="C287" s="93">
        <v>82.0</v>
      </c>
      <c r="D287" s="93">
        <v>30.0</v>
      </c>
      <c r="E287" s="93" t="s">
        <v>337</v>
      </c>
      <c r="F287" s="90" t="s">
        <v>325</v>
      </c>
      <c r="G287" s="139">
        <v>45991.0</v>
      </c>
      <c r="H287" s="159" t="s">
        <v>69</v>
      </c>
      <c r="I287" s="90"/>
    </row>
    <row r="288" ht="13.5" customHeight="1">
      <c r="A288" s="90">
        <v>284.0</v>
      </c>
      <c r="B288" s="139">
        <v>45991.0</v>
      </c>
      <c r="C288" s="93">
        <v>98.0</v>
      </c>
      <c r="D288" s="93">
        <v>10.0</v>
      </c>
      <c r="E288" s="93" t="s">
        <v>347</v>
      </c>
      <c r="F288" s="90" t="s">
        <v>325</v>
      </c>
      <c r="G288" s="139">
        <v>45991.0</v>
      </c>
      <c r="H288" s="159" t="s">
        <v>69</v>
      </c>
      <c r="I288" s="90"/>
    </row>
    <row r="289" ht="13.5" customHeight="1">
      <c r="A289" s="90">
        <v>285.0</v>
      </c>
      <c r="B289" s="139">
        <v>45991.0</v>
      </c>
      <c r="C289" s="93">
        <v>113.0</v>
      </c>
      <c r="D289" s="93">
        <v>136.0</v>
      </c>
      <c r="E289" s="93" t="s">
        <v>316</v>
      </c>
      <c r="F289" s="90" t="s">
        <v>325</v>
      </c>
      <c r="G289" s="139">
        <v>45991.0</v>
      </c>
      <c r="H289" s="159" t="s">
        <v>69</v>
      </c>
      <c r="I289" s="90"/>
    </row>
    <row r="290" ht="13.5" customHeight="1">
      <c r="A290" s="90">
        <v>286.0</v>
      </c>
      <c r="B290" s="139">
        <v>45991.0</v>
      </c>
      <c r="C290" s="93">
        <v>119.0</v>
      </c>
      <c r="D290" s="93">
        <v>67.0</v>
      </c>
      <c r="E290" s="93" t="s">
        <v>346</v>
      </c>
      <c r="F290" s="90" t="s">
        <v>314</v>
      </c>
      <c r="G290" s="139">
        <v>45994.0</v>
      </c>
      <c r="H290" s="159" t="s">
        <v>69</v>
      </c>
      <c r="I290" s="93" t="s">
        <v>332</v>
      </c>
    </row>
    <row r="291" ht="13.5" customHeight="1">
      <c r="A291" s="90">
        <v>287.0</v>
      </c>
      <c r="B291" s="139">
        <v>45991.0</v>
      </c>
      <c r="C291" s="93">
        <v>119.0</v>
      </c>
      <c r="D291" s="93">
        <v>102.0</v>
      </c>
      <c r="E291" s="93" t="s">
        <v>346</v>
      </c>
      <c r="F291" s="90" t="s">
        <v>348</v>
      </c>
      <c r="G291" s="139">
        <v>45994.0</v>
      </c>
      <c r="H291" s="159" t="s">
        <v>69</v>
      </c>
      <c r="I291" s="90" t="s">
        <v>349</v>
      </c>
    </row>
    <row r="292" ht="13.5" customHeight="1">
      <c r="A292" s="90">
        <v>288.0</v>
      </c>
      <c r="B292" s="139">
        <v>45991.0</v>
      </c>
      <c r="C292" s="140">
        <v>121.0</v>
      </c>
      <c r="D292" s="140">
        <v>48.0</v>
      </c>
      <c r="E292" s="93" t="s">
        <v>346</v>
      </c>
      <c r="F292" s="90" t="s">
        <v>325</v>
      </c>
      <c r="G292" s="139">
        <v>45991.0</v>
      </c>
      <c r="H292" s="159" t="s">
        <v>69</v>
      </c>
      <c r="I292" s="90"/>
    </row>
    <row r="293" ht="13.5" customHeight="1">
      <c r="A293" s="90">
        <v>289.0</v>
      </c>
      <c r="B293" s="139">
        <v>45991.0</v>
      </c>
      <c r="C293" s="93">
        <v>122.0</v>
      </c>
      <c r="D293" s="93">
        <v>125.0</v>
      </c>
      <c r="E293" s="93" t="s">
        <v>343</v>
      </c>
      <c r="F293" s="92" t="s">
        <v>314</v>
      </c>
      <c r="G293" s="144">
        <v>45998.0</v>
      </c>
      <c r="H293" s="159" t="s">
        <v>69</v>
      </c>
      <c r="I293" s="90" t="s">
        <v>315</v>
      </c>
    </row>
    <row r="294" ht="13.5" customHeight="1">
      <c r="A294" s="90">
        <v>290.0</v>
      </c>
      <c r="B294" s="161">
        <v>45991.0</v>
      </c>
      <c r="C294" s="140">
        <v>125.0</v>
      </c>
      <c r="D294" s="140">
        <v>124.0</v>
      </c>
      <c r="E294" s="140" t="s">
        <v>347</v>
      </c>
      <c r="F294" s="162" t="s">
        <v>325</v>
      </c>
      <c r="G294" s="161">
        <v>45991.0</v>
      </c>
      <c r="H294" s="159" t="s">
        <v>69</v>
      </c>
      <c r="I294" s="162"/>
    </row>
    <row r="295" ht="13.5" customHeight="1">
      <c r="A295" s="90">
        <v>291.0</v>
      </c>
      <c r="B295" s="139">
        <v>45991.0</v>
      </c>
      <c r="C295" s="93">
        <v>125.0</v>
      </c>
      <c r="D295" s="93">
        <v>126.0</v>
      </c>
      <c r="E295" s="93" t="s">
        <v>347</v>
      </c>
      <c r="F295" s="90" t="s">
        <v>325</v>
      </c>
      <c r="G295" s="139">
        <v>45991.0</v>
      </c>
      <c r="H295" s="159" t="s">
        <v>69</v>
      </c>
      <c r="I295" s="90"/>
    </row>
    <row r="296" ht="13.5" customHeight="1">
      <c r="A296" s="90">
        <v>292.0</v>
      </c>
      <c r="B296" s="139">
        <v>45991.0</v>
      </c>
      <c r="C296" s="93">
        <v>125.0</v>
      </c>
      <c r="D296" s="93">
        <v>128.0</v>
      </c>
      <c r="E296" s="93" t="s">
        <v>347</v>
      </c>
      <c r="F296" s="90" t="s">
        <v>325</v>
      </c>
      <c r="G296" s="139">
        <v>45991.0</v>
      </c>
      <c r="H296" s="159" t="s">
        <v>69</v>
      </c>
      <c r="I296" s="90"/>
    </row>
    <row r="297" ht="13.5" customHeight="1">
      <c r="A297" s="90">
        <v>293.0</v>
      </c>
      <c r="B297" s="139">
        <v>45991.0</v>
      </c>
      <c r="C297" s="93">
        <v>125.0</v>
      </c>
      <c r="D297" s="93">
        <v>130.0</v>
      </c>
      <c r="E297" s="93" t="s">
        <v>347</v>
      </c>
      <c r="F297" s="90" t="s">
        <v>325</v>
      </c>
      <c r="G297" s="139">
        <v>45991.0</v>
      </c>
      <c r="H297" s="159" t="s">
        <v>69</v>
      </c>
      <c r="I297" s="90"/>
    </row>
    <row r="298" ht="13.5" customHeight="1">
      <c r="A298" s="90">
        <v>294.0</v>
      </c>
      <c r="B298" s="139">
        <v>45991.0</v>
      </c>
      <c r="C298" s="93">
        <v>125.0</v>
      </c>
      <c r="D298" s="93">
        <v>132.0</v>
      </c>
      <c r="E298" s="93" t="s">
        <v>347</v>
      </c>
      <c r="F298" s="90" t="s">
        <v>325</v>
      </c>
      <c r="G298" s="139">
        <v>45991.0</v>
      </c>
      <c r="H298" s="159" t="s">
        <v>69</v>
      </c>
      <c r="I298" s="90"/>
    </row>
    <row r="299" ht="13.5" customHeight="1">
      <c r="A299" s="90">
        <v>295.0</v>
      </c>
      <c r="B299" s="139">
        <v>45992.0</v>
      </c>
      <c r="C299" s="93">
        <v>56.0</v>
      </c>
      <c r="D299" s="93">
        <v>79.0</v>
      </c>
      <c r="E299" s="93" t="s">
        <v>322</v>
      </c>
      <c r="F299" s="90" t="s">
        <v>320</v>
      </c>
      <c r="G299" s="139">
        <v>45993.0</v>
      </c>
      <c r="H299" s="159" t="s">
        <v>69</v>
      </c>
      <c r="I299" s="90" t="s">
        <v>315</v>
      </c>
    </row>
    <row r="300" ht="13.5" customHeight="1">
      <c r="A300" s="90">
        <v>296.0</v>
      </c>
      <c r="B300" s="139">
        <v>45992.0</v>
      </c>
      <c r="C300" s="93">
        <v>57.0</v>
      </c>
      <c r="D300" s="93">
        <v>29.0</v>
      </c>
      <c r="E300" s="93" t="s">
        <v>335</v>
      </c>
      <c r="F300" s="90" t="s">
        <v>325</v>
      </c>
      <c r="G300" s="139">
        <v>45992.0</v>
      </c>
      <c r="H300" s="159" t="s">
        <v>69</v>
      </c>
      <c r="I300" s="90"/>
    </row>
    <row r="301" ht="13.5" customHeight="1">
      <c r="A301" s="90">
        <v>297.0</v>
      </c>
      <c r="B301" s="139">
        <v>45992.0</v>
      </c>
      <c r="C301" s="93">
        <v>2.0</v>
      </c>
      <c r="D301" s="93">
        <v>11.0</v>
      </c>
      <c r="E301" s="93" t="s">
        <v>323</v>
      </c>
      <c r="F301" s="93" t="s">
        <v>350</v>
      </c>
      <c r="G301" s="139">
        <v>45992.0</v>
      </c>
      <c r="H301" s="159" t="s">
        <v>69</v>
      </c>
      <c r="I301" s="90"/>
    </row>
    <row r="302" ht="13.5" customHeight="1">
      <c r="A302" s="90">
        <v>298.0</v>
      </c>
      <c r="B302" s="139">
        <v>45992.0</v>
      </c>
      <c r="C302" s="93">
        <v>4.0</v>
      </c>
      <c r="D302" s="93">
        <v>61.0</v>
      </c>
      <c r="E302" s="93" t="s">
        <v>337</v>
      </c>
      <c r="F302" s="93" t="s">
        <v>309</v>
      </c>
      <c r="G302" s="139">
        <v>45992.0</v>
      </c>
      <c r="H302" s="159" t="s">
        <v>69</v>
      </c>
      <c r="I302" s="90"/>
    </row>
    <row r="303" ht="13.5" customHeight="1">
      <c r="A303" s="90">
        <v>299.0</v>
      </c>
      <c r="B303" s="139">
        <v>45992.0</v>
      </c>
      <c r="C303" s="93">
        <v>8.0</v>
      </c>
      <c r="D303" s="93">
        <v>129.0</v>
      </c>
      <c r="E303" s="93" t="s">
        <v>334</v>
      </c>
      <c r="F303" s="93" t="s">
        <v>351</v>
      </c>
      <c r="G303" s="139">
        <v>45992.0</v>
      </c>
      <c r="H303" s="159" t="s">
        <v>69</v>
      </c>
      <c r="I303" s="90"/>
    </row>
    <row r="304" ht="13.5" customHeight="1">
      <c r="A304" s="90">
        <v>300.0</v>
      </c>
      <c r="B304" s="139">
        <v>45992.0</v>
      </c>
      <c r="C304" s="93">
        <v>8.0</v>
      </c>
      <c r="D304" s="93">
        <v>131.0</v>
      </c>
      <c r="E304" s="93" t="s">
        <v>334</v>
      </c>
      <c r="F304" s="93" t="s">
        <v>352</v>
      </c>
      <c r="G304" s="139">
        <v>45992.0</v>
      </c>
      <c r="H304" s="159" t="s">
        <v>69</v>
      </c>
      <c r="I304" s="90"/>
    </row>
    <row r="305" ht="13.5" customHeight="1">
      <c r="A305" s="90">
        <v>301.0</v>
      </c>
      <c r="B305" s="139">
        <v>45992.0</v>
      </c>
      <c r="C305" s="93">
        <v>8.0</v>
      </c>
      <c r="D305" s="93">
        <v>133.0</v>
      </c>
      <c r="E305" s="93" t="s">
        <v>334</v>
      </c>
      <c r="F305" s="93" t="s">
        <v>352</v>
      </c>
      <c r="G305" s="139">
        <v>45992.0</v>
      </c>
      <c r="H305" s="159" t="s">
        <v>69</v>
      </c>
      <c r="I305" s="90"/>
    </row>
    <row r="306" ht="13.5" customHeight="1">
      <c r="A306" s="90">
        <v>302.0</v>
      </c>
      <c r="B306" s="139">
        <v>45992.0</v>
      </c>
      <c r="C306" s="93">
        <v>13.0</v>
      </c>
      <c r="D306" s="93">
        <v>53.0</v>
      </c>
      <c r="E306" s="93" t="s">
        <v>322</v>
      </c>
      <c r="F306" s="93" t="s">
        <v>309</v>
      </c>
      <c r="G306" s="139">
        <v>45992.0</v>
      </c>
      <c r="H306" s="159" t="s">
        <v>69</v>
      </c>
      <c r="I306" s="90"/>
    </row>
    <row r="307" ht="13.5" customHeight="1">
      <c r="A307" s="90">
        <v>303.0</v>
      </c>
      <c r="B307" s="139">
        <v>45992.0</v>
      </c>
      <c r="C307" s="93">
        <v>14.0</v>
      </c>
      <c r="D307" s="93">
        <v>55.0</v>
      </c>
      <c r="E307" s="93" t="s">
        <v>322</v>
      </c>
      <c r="F307" s="93" t="s">
        <v>353</v>
      </c>
      <c r="G307" s="139">
        <v>45992.0</v>
      </c>
      <c r="H307" s="159" t="s">
        <v>69</v>
      </c>
      <c r="I307" s="90"/>
    </row>
    <row r="308" ht="13.5" customHeight="1">
      <c r="A308" s="90">
        <v>304.0</v>
      </c>
      <c r="B308" s="139">
        <v>45992.0</v>
      </c>
      <c r="C308" s="93">
        <v>14.0</v>
      </c>
      <c r="D308" s="93">
        <v>55.0</v>
      </c>
      <c r="E308" s="93" t="s">
        <v>322</v>
      </c>
      <c r="F308" s="93" t="s">
        <v>353</v>
      </c>
      <c r="G308" s="139">
        <v>45992.0</v>
      </c>
      <c r="H308" s="159" t="s">
        <v>69</v>
      </c>
      <c r="I308" s="90"/>
    </row>
    <row r="309" ht="13.5" customHeight="1">
      <c r="A309" s="90">
        <v>305.0</v>
      </c>
      <c r="B309" s="139">
        <v>45992.0</v>
      </c>
      <c r="C309" s="93">
        <v>30.0</v>
      </c>
      <c r="D309" s="93">
        <v>2.0</v>
      </c>
      <c r="E309" s="93" t="s">
        <v>316</v>
      </c>
      <c r="F309" s="93" t="s">
        <v>354</v>
      </c>
      <c r="G309" s="139">
        <v>45992.0</v>
      </c>
      <c r="H309" s="159" t="s">
        <v>69</v>
      </c>
      <c r="I309" s="90"/>
    </row>
    <row r="310" ht="13.5" customHeight="1">
      <c r="A310" s="90">
        <v>306.0</v>
      </c>
      <c r="B310" s="139">
        <v>45992.0</v>
      </c>
      <c r="C310" s="93">
        <v>58.0</v>
      </c>
      <c r="D310" s="93">
        <v>33.0</v>
      </c>
      <c r="E310" s="93" t="s">
        <v>316</v>
      </c>
      <c r="F310" s="90" t="s">
        <v>314</v>
      </c>
      <c r="G310" s="139">
        <v>45993.0</v>
      </c>
      <c r="H310" s="159" t="s">
        <v>69</v>
      </c>
      <c r="I310" s="90" t="s">
        <v>315</v>
      </c>
    </row>
    <row r="311" ht="13.5" customHeight="1">
      <c r="A311" s="90">
        <v>307.0</v>
      </c>
      <c r="B311" s="139">
        <v>45992.0</v>
      </c>
      <c r="C311" s="93">
        <v>68.0</v>
      </c>
      <c r="D311" s="93">
        <v>137.0</v>
      </c>
      <c r="E311" s="93" t="s">
        <v>316</v>
      </c>
      <c r="F311" s="93" t="s">
        <v>309</v>
      </c>
      <c r="G311" s="139">
        <v>45992.0</v>
      </c>
      <c r="H311" s="159" t="s">
        <v>69</v>
      </c>
      <c r="I311" s="90"/>
    </row>
    <row r="312" ht="13.5" customHeight="1">
      <c r="A312" s="90">
        <v>308.0</v>
      </c>
      <c r="B312" s="139">
        <v>45992.0</v>
      </c>
      <c r="C312" s="93">
        <v>70.0</v>
      </c>
      <c r="D312" s="93">
        <v>61.0</v>
      </c>
      <c r="E312" s="93" t="s">
        <v>323</v>
      </c>
      <c r="F312" s="93" t="s">
        <v>325</v>
      </c>
      <c r="G312" s="139">
        <v>45992.0</v>
      </c>
      <c r="H312" s="159" t="s">
        <v>69</v>
      </c>
      <c r="I312" s="90"/>
    </row>
    <row r="313" ht="13.5" customHeight="1">
      <c r="A313" s="90">
        <v>309.0</v>
      </c>
      <c r="B313" s="139">
        <v>45992.0</v>
      </c>
      <c r="C313" s="93">
        <v>75.0</v>
      </c>
      <c r="D313" s="93">
        <v>72.0</v>
      </c>
      <c r="E313" s="93" t="s">
        <v>334</v>
      </c>
      <c r="F313" s="93" t="s">
        <v>325</v>
      </c>
      <c r="G313" s="139">
        <v>45992.0</v>
      </c>
      <c r="H313" s="159" t="s">
        <v>69</v>
      </c>
      <c r="I313" s="90"/>
    </row>
    <row r="314" ht="13.5" customHeight="1">
      <c r="A314" s="90">
        <v>310.0</v>
      </c>
      <c r="B314" s="139">
        <v>45992.0</v>
      </c>
      <c r="C314" s="93">
        <v>82.0</v>
      </c>
      <c r="D314" s="93">
        <v>30.0</v>
      </c>
      <c r="E314" s="93" t="s">
        <v>337</v>
      </c>
      <c r="F314" s="93" t="s">
        <v>325</v>
      </c>
      <c r="G314" s="139">
        <v>45992.0</v>
      </c>
      <c r="H314" s="159" t="s">
        <v>69</v>
      </c>
      <c r="I314" s="90"/>
    </row>
    <row r="315" ht="13.5" customHeight="1">
      <c r="A315" s="90">
        <v>311.0</v>
      </c>
      <c r="B315" s="139">
        <v>45992.0</v>
      </c>
      <c r="C315" s="93">
        <v>83.0</v>
      </c>
      <c r="D315" s="93">
        <v>143.0</v>
      </c>
      <c r="E315" s="93" t="s">
        <v>310</v>
      </c>
      <c r="F315" s="93" t="s">
        <v>325</v>
      </c>
      <c r="G315" s="139">
        <v>45992.0</v>
      </c>
      <c r="H315" s="159" t="s">
        <v>69</v>
      </c>
      <c r="I315" s="90"/>
    </row>
    <row r="316" ht="13.5" customHeight="1">
      <c r="A316" s="90">
        <v>312.0</v>
      </c>
      <c r="B316" s="139">
        <v>45992.0</v>
      </c>
      <c r="C316" s="93">
        <v>87.0</v>
      </c>
      <c r="D316" s="93">
        <v>69.0</v>
      </c>
      <c r="E316" s="93" t="s">
        <v>323</v>
      </c>
      <c r="F316" s="93" t="s">
        <v>325</v>
      </c>
      <c r="G316" s="139">
        <v>45992.0</v>
      </c>
      <c r="H316" s="159" t="s">
        <v>69</v>
      </c>
      <c r="I316" s="90"/>
    </row>
    <row r="317" ht="13.5" customHeight="1">
      <c r="A317" s="90">
        <v>313.0</v>
      </c>
      <c r="B317" s="139">
        <v>45992.0</v>
      </c>
      <c r="C317" s="93">
        <v>95.0</v>
      </c>
      <c r="D317" s="93">
        <v>3.0</v>
      </c>
      <c r="E317" s="93" t="s">
        <v>323</v>
      </c>
      <c r="F317" s="93" t="s">
        <v>325</v>
      </c>
      <c r="G317" s="139">
        <v>45992.0</v>
      </c>
      <c r="H317" s="159" t="s">
        <v>69</v>
      </c>
      <c r="I317" s="90"/>
    </row>
    <row r="318" ht="13.5" customHeight="1">
      <c r="A318" s="90">
        <v>314.0</v>
      </c>
      <c r="B318" s="139">
        <v>45992.0</v>
      </c>
      <c r="C318" s="93">
        <v>95.0</v>
      </c>
      <c r="D318" s="93">
        <v>135.0</v>
      </c>
      <c r="E318" s="93" t="s">
        <v>323</v>
      </c>
      <c r="F318" s="93" t="s">
        <v>325</v>
      </c>
      <c r="G318" s="139">
        <v>45992.0</v>
      </c>
      <c r="H318" s="159" t="s">
        <v>69</v>
      </c>
      <c r="I318" s="90"/>
    </row>
    <row r="319" ht="13.5" customHeight="1">
      <c r="A319" s="90">
        <v>315.0</v>
      </c>
      <c r="B319" s="139">
        <v>45992.0</v>
      </c>
      <c r="C319" s="93">
        <v>121.0</v>
      </c>
      <c r="D319" s="93">
        <v>48.0</v>
      </c>
      <c r="E319" s="93" t="s">
        <v>355</v>
      </c>
      <c r="F319" s="93" t="s">
        <v>325</v>
      </c>
      <c r="G319" s="139">
        <v>45992.0</v>
      </c>
      <c r="H319" s="159" t="s">
        <v>69</v>
      </c>
      <c r="I319" s="90"/>
    </row>
    <row r="320" ht="13.5" customHeight="1">
      <c r="A320" s="90">
        <v>316.0</v>
      </c>
      <c r="B320" s="139">
        <v>45993.0</v>
      </c>
      <c r="C320" s="93">
        <v>16.0</v>
      </c>
      <c r="D320" s="93">
        <v>88.0</v>
      </c>
      <c r="E320" s="93" t="s">
        <v>335</v>
      </c>
      <c r="F320" s="92" t="s">
        <v>69</v>
      </c>
      <c r="G320" s="144">
        <v>45998.0</v>
      </c>
      <c r="H320" s="159" t="s">
        <v>69</v>
      </c>
      <c r="I320" s="93" t="s">
        <v>340</v>
      </c>
    </row>
    <row r="321" ht="13.5" customHeight="1">
      <c r="A321" s="90">
        <v>317.0</v>
      </c>
      <c r="B321" s="139">
        <v>45993.0</v>
      </c>
      <c r="C321" s="93">
        <v>19.0</v>
      </c>
      <c r="D321" s="93">
        <v>20.0</v>
      </c>
      <c r="E321" s="93" t="s">
        <v>310</v>
      </c>
      <c r="F321" s="90" t="s">
        <v>309</v>
      </c>
      <c r="G321" s="139">
        <v>45993.0</v>
      </c>
      <c r="H321" s="159" t="s">
        <v>69</v>
      </c>
      <c r="I321" s="90"/>
    </row>
    <row r="322" ht="13.5" customHeight="1">
      <c r="A322" s="90">
        <v>318.0</v>
      </c>
      <c r="B322" s="139">
        <v>45993.0</v>
      </c>
      <c r="C322" s="93">
        <v>58.0</v>
      </c>
      <c r="D322" s="93">
        <v>119.0</v>
      </c>
      <c r="E322" s="93" t="s">
        <v>313</v>
      </c>
      <c r="F322" s="93" t="s">
        <v>309</v>
      </c>
      <c r="G322" s="139">
        <v>45993.0</v>
      </c>
      <c r="H322" s="159" t="s">
        <v>69</v>
      </c>
      <c r="I322" s="90"/>
    </row>
    <row r="323" ht="13.5" customHeight="1">
      <c r="A323" s="90">
        <v>319.0</v>
      </c>
      <c r="B323" s="139">
        <v>45993.0</v>
      </c>
      <c r="C323" s="93">
        <v>68.0</v>
      </c>
      <c r="D323" s="93">
        <v>137.0</v>
      </c>
      <c r="E323" s="93" t="s">
        <v>323</v>
      </c>
      <c r="F323" s="93" t="s">
        <v>356</v>
      </c>
      <c r="G323" s="139">
        <v>45993.0</v>
      </c>
      <c r="H323" s="159" t="s">
        <v>69</v>
      </c>
      <c r="I323" s="90"/>
    </row>
    <row r="324" ht="13.5" customHeight="1">
      <c r="A324" s="90">
        <v>320.0</v>
      </c>
      <c r="B324" s="139">
        <v>45993.0</v>
      </c>
      <c r="C324" s="93">
        <v>83.0</v>
      </c>
      <c r="D324" s="93">
        <v>143.0</v>
      </c>
      <c r="E324" s="93" t="s">
        <v>310</v>
      </c>
      <c r="F324" s="90" t="s">
        <v>309</v>
      </c>
      <c r="G324" s="139">
        <v>45993.0</v>
      </c>
      <c r="H324" s="159" t="s">
        <v>69</v>
      </c>
      <c r="I324" s="90"/>
    </row>
    <row r="325" ht="13.5" customHeight="1">
      <c r="A325" s="90">
        <v>321.0</v>
      </c>
      <c r="B325" s="139">
        <v>45993.0</v>
      </c>
      <c r="C325" s="93">
        <v>121.0</v>
      </c>
      <c r="D325" s="93">
        <v>48.0</v>
      </c>
      <c r="E325" s="93" t="s">
        <v>310</v>
      </c>
      <c r="F325" s="93" t="s">
        <v>309</v>
      </c>
      <c r="G325" s="139">
        <v>45993.0</v>
      </c>
      <c r="H325" s="159" t="s">
        <v>69</v>
      </c>
      <c r="I325" s="90"/>
    </row>
    <row r="326" ht="13.5" customHeight="1">
      <c r="A326" s="90">
        <v>322.0</v>
      </c>
      <c r="B326" s="139">
        <v>45993.0</v>
      </c>
      <c r="C326" s="93">
        <v>130.0</v>
      </c>
      <c r="D326" s="93">
        <v>45.0</v>
      </c>
      <c r="E326" s="93" t="s">
        <v>310</v>
      </c>
      <c r="F326" s="92" t="s">
        <v>314</v>
      </c>
      <c r="G326" s="144">
        <v>45997.0</v>
      </c>
      <c r="H326" s="159" t="s">
        <v>69</v>
      </c>
      <c r="I326" s="90" t="s">
        <v>315</v>
      </c>
    </row>
    <row r="327" ht="13.5" customHeight="1">
      <c r="A327" s="90">
        <v>323.0</v>
      </c>
      <c r="B327" s="139">
        <v>45994.0</v>
      </c>
      <c r="C327" s="93">
        <v>2.0</v>
      </c>
      <c r="D327" s="93">
        <v>11.0</v>
      </c>
      <c r="E327" s="90" t="s">
        <v>323</v>
      </c>
      <c r="F327" s="90" t="s">
        <v>309</v>
      </c>
      <c r="G327" s="139">
        <v>45994.0</v>
      </c>
      <c r="H327" s="159" t="s">
        <v>69</v>
      </c>
      <c r="I327" s="90"/>
    </row>
    <row r="328" ht="13.5" customHeight="1">
      <c r="A328" s="90">
        <v>324.0</v>
      </c>
      <c r="B328" s="139">
        <v>45994.0</v>
      </c>
      <c r="C328" s="90">
        <v>8.0</v>
      </c>
      <c r="D328" s="90">
        <v>133.0</v>
      </c>
      <c r="E328" s="90" t="s">
        <v>357</v>
      </c>
      <c r="F328" s="93" t="s">
        <v>309</v>
      </c>
      <c r="G328" s="139">
        <v>45994.0</v>
      </c>
      <c r="H328" s="159" t="s">
        <v>69</v>
      </c>
      <c r="I328" s="90"/>
    </row>
    <row r="329" ht="13.5" customHeight="1">
      <c r="A329" s="90">
        <v>325.0</v>
      </c>
      <c r="B329" s="139">
        <v>45994.0</v>
      </c>
      <c r="C329" s="90">
        <v>16.0</v>
      </c>
      <c r="D329" s="90">
        <v>112.0</v>
      </c>
      <c r="E329" s="90" t="s">
        <v>347</v>
      </c>
      <c r="F329" s="145" t="s">
        <v>69</v>
      </c>
      <c r="G329" s="144">
        <v>45998.0</v>
      </c>
      <c r="H329" s="159" t="s">
        <v>69</v>
      </c>
      <c r="I329" s="90" t="s">
        <v>340</v>
      </c>
    </row>
    <row r="330" ht="13.5" customHeight="1">
      <c r="A330" s="90">
        <v>326.0</v>
      </c>
      <c r="B330" s="139">
        <v>45994.0</v>
      </c>
      <c r="C330" s="90">
        <v>22.0</v>
      </c>
      <c r="D330" s="90">
        <v>44.0</v>
      </c>
      <c r="E330" s="90" t="s">
        <v>358</v>
      </c>
      <c r="F330" s="93" t="s">
        <v>309</v>
      </c>
      <c r="G330" s="139">
        <v>45994.0</v>
      </c>
      <c r="H330" s="159" t="s">
        <v>69</v>
      </c>
      <c r="I330" s="90"/>
    </row>
    <row r="331" ht="13.5" customHeight="1">
      <c r="A331" s="90">
        <v>327.0</v>
      </c>
      <c r="B331" s="139">
        <v>45994.0</v>
      </c>
      <c r="C331" s="90">
        <v>23.0</v>
      </c>
      <c r="D331" s="90">
        <v>30.0</v>
      </c>
      <c r="E331" s="90" t="s">
        <v>359</v>
      </c>
      <c r="F331" s="93" t="s">
        <v>309</v>
      </c>
      <c r="G331" s="139">
        <v>45994.0</v>
      </c>
      <c r="H331" s="159" t="s">
        <v>69</v>
      </c>
      <c r="I331" s="90"/>
    </row>
    <row r="332" ht="13.5" customHeight="1">
      <c r="A332" s="90">
        <v>328.0</v>
      </c>
      <c r="B332" s="139">
        <v>45994.0</v>
      </c>
      <c r="C332" s="90">
        <v>28.0</v>
      </c>
      <c r="D332" s="90">
        <v>64.0</v>
      </c>
      <c r="E332" s="90" t="s">
        <v>358</v>
      </c>
      <c r="F332" s="93" t="s">
        <v>309</v>
      </c>
      <c r="G332" s="139">
        <v>45994.0</v>
      </c>
      <c r="H332" s="159" t="s">
        <v>69</v>
      </c>
      <c r="I332" s="90"/>
    </row>
    <row r="333" ht="13.5" customHeight="1">
      <c r="A333" s="90">
        <v>329.0</v>
      </c>
      <c r="B333" s="139">
        <v>45994.0</v>
      </c>
      <c r="C333" s="90">
        <v>30.0</v>
      </c>
      <c r="D333" s="90">
        <v>118.0</v>
      </c>
      <c r="E333" s="90" t="s">
        <v>358</v>
      </c>
      <c r="F333" s="93" t="s">
        <v>309</v>
      </c>
      <c r="G333" s="139">
        <v>45994.0</v>
      </c>
      <c r="H333" s="159" t="s">
        <v>69</v>
      </c>
      <c r="I333" s="90"/>
    </row>
    <row r="334" ht="13.5" customHeight="1">
      <c r="A334" s="90">
        <v>330.0</v>
      </c>
      <c r="B334" s="139">
        <v>45994.0</v>
      </c>
      <c r="C334" s="90">
        <v>33.0</v>
      </c>
      <c r="D334" s="90">
        <v>71.0</v>
      </c>
      <c r="E334" s="90" t="s">
        <v>360</v>
      </c>
      <c r="F334" s="93" t="s">
        <v>361</v>
      </c>
      <c r="G334" s="139">
        <v>45994.0</v>
      </c>
      <c r="H334" s="159" t="s">
        <v>69</v>
      </c>
      <c r="I334" s="90"/>
    </row>
    <row r="335" ht="13.5" customHeight="1">
      <c r="A335" s="90">
        <v>331.0</v>
      </c>
      <c r="B335" s="139">
        <v>45994.0</v>
      </c>
      <c r="C335" s="90">
        <v>37.0</v>
      </c>
      <c r="D335" s="90">
        <v>124.0</v>
      </c>
      <c r="E335" s="90" t="s">
        <v>344</v>
      </c>
      <c r="F335" s="90" t="s">
        <v>362</v>
      </c>
      <c r="G335" s="139">
        <v>45994.0</v>
      </c>
      <c r="H335" s="159" t="s">
        <v>69</v>
      </c>
      <c r="I335" s="90"/>
    </row>
    <row r="336" ht="13.5" customHeight="1">
      <c r="A336" s="90">
        <v>332.0</v>
      </c>
      <c r="B336" s="139">
        <v>45994.0</v>
      </c>
      <c r="C336" s="90">
        <v>46.0</v>
      </c>
      <c r="D336" s="90">
        <v>28.0</v>
      </c>
      <c r="E336" s="90" t="s">
        <v>358</v>
      </c>
      <c r="F336" s="93" t="s">
        <v>309</v>
      </c>
      <c r="G336" s="139">
        <v>45994.0</v>
      </c>
      <c r="H336" s="159" t="s">
        <v>69</v>
      </c>
      <c r="I336" s="90"/>
    </row>
    <row r="337" ht="13.5" customHeight="1">
      <c r="A337" s="90">
        <v>333.0</v>
      </c>
      <c r="B337" s="139">
        <v>45994.0</v>
      </c>
      <c r="C337" s="90">
        <v>55.0</v>
      </c>
      <c r="D337" s="90">
        <v>97.0</v>
      </c>
      <c r="E337" s="90" t="s">
        <v>358</v>
      </c>
      <c r="F337" s="93" t="s">
        <v>309</v>
      </c>
      <c r="G337" s="139">
        <v>45994.0</v>
      </c>
      <c r="H337" s="159" t="s">
        <v>69</v>
      </c>
      <c r="I337" s="90"/>
    </row>
    <row r="338" ht="13.5" customHeight="1">
      <c r="A338" s="90">
        <v>334.0</v>
      </c>
      <c r="B338" s="139">
        <v>45994.0</v>
      </c>
      <c r="C338" s="90">
        <v>58.0</v>
      </c>
      <c r="D338" s="90">
        <v>119.0</v>
      </c>
      <c r="E338" s="90" t="s">
        <v>363</v>
      </c>
      <c r="F338" s="93" t="s">
        <v>309</v>
      </c>
      <c r="G338" s="139">
        <v>45994.0</v>
      </c>
      <c r="H338" s="159" t="s">
        <v>69</v>
      </c>
      <c r="I338" s="90"/>
    </row>
    <row r="339" ht="13.5" customHeight="1">
      <c r="A339" s="90">
        <v>335.0</v>
      </c>
      <c r="B339" s="139">
        <v>45994.0</v>
      </c>
      <c r="C339" s="90">
        <v>63.0</v>
      </c>
      <c r="D339" s="90">
        <v>87.0</v>
      </c>
      <c r="E339" s="90" t="s">
        <v>344</v>
      </c>
      <c r="F339" s="93" t="s">
        <v>362</v>
      </c>
      <c r="G339" s="139">
        <v>45994.0</v>
      </c>
      <c r="H339" s="159" t="s">
        <v>69</v>
      </c>
      <c r="I339" s="90"/>
    </row>
    <row r="340" ht="13.5" customHeight="1">
      <c r="A340" s="90">
        <v>336.0</v>
      </c>
      <c r="B340" s="139">
        <v>45994.0</v>
      </c>
      <c r="C340" s="90">
        <v>70.0</v>
      </c>
      <c r="D340" s="90">
        <v>49.0</v>
      </c>
      <c r="E340" s="90" t="s">
        <v>358</v>
      </c>
      <c r="F340" s="93" t="s">
        <v>309</v>
      </c>
      <c r="G340" s="139">
        <v>45994.0</v>
      </c>
      <c r="H340" s="159" t="s">
        <v>69</v>
      </c>
      <c r="I340" s="90"/>
    </row>
    <row r="341" ht="13.5" customHeight="1">
      <c r="A341" s="90">
        <v>337.0</v>
      </c>
      <c r="B341" s="139">
        <v>45994.0</v>
      </c>
      <c r="C341" s="90">
        <v>70.0</v>
      </c>
      <c r="D341" s="90">
        <v>61.0</v>
      </c>
      <c r="E341" s="90" t="s">
        <v>358</v>
      </c>
      <c r="F341" s="93" t="s">
        <v>309</v>
      </c>
      <c r="G341" s="139">
        <v>45994.0</v>
      </c>
      <c r="H341" s="159" t="s">
        <v>69</v>
      </c>
      <c r="I341" s="90"/>
    </row>
    <row r="342" ht="13.5" customHeight="1">
      <c r="A342" s="90">
        <v>338.0</v>
      </c>
      <c r="B342" s="139">
        <v>45994.0</v>
      </c>
      <c r="C342" s="90">
        <v>79.0</v>
      </c>
      <c r="D342" s="90">
        <v>120.0</v>
      </c>
      <c r="E342" s="90" t="s">
        <v>358</v>
      </c>
      <c r="F342" s="93" t="s">
        <v>309</v>
      </c>
      <c r="G342" s="139">
        <v>45994.0</v>
      </c>
      <c r="H342" s="159" t="s">
        <v>69</v>
      </c>
      <c r="I342" s="90"/>
    </row>
    <row r="343" ht="13.5" customHeight="1">
      <c r="A343" s="90">
        <v>339.0</v>
      </c>
      <c r="B343" s="139">
        <v>45994.0</v>
      </c>
      <c r="C343" s="90">
        <v>80.0</v>
      </c>
      <c r="D343" s="90">
        <v>95.0</v>
      </c>
      <c r="E343" s="90" t="s">
        <v>344</v>
      </c>
      <c r="F343" s="93" t="s">
        <v>362</v>
      </c>
      <c r="G343" s="139">
        <v>45994.0</v>
      </c>
      <c r="H343" s="159" t="s">
        <v>69</v>
      </c>
      <c r="I343" s="90"/>
    </row>
    <row r="344" ht="13.5" customHeight="1">
      <c r="A344" s="90">
        <v>340.0</v>
      </c>
      <c r="B344" s="139">
        <v>45994.0</v>
      </c>
      <c r="C344" s="90">
        <v>83.0</v>
      </c>
      <c r="D344" s="90">
        <v>143.0</v>
      </c>
      <c r="E344" s="90" t="s">
        <v>364</v>
      </c>
      <c r="F344" s="93" t="s">
        <v>309</v>
      </c>
      <c r="G344" s="139">
        <v>45994.0</v>
      </c>
      <c r="H344" s="159" t="s">
        <v>69</v>
      </c>
      <c r="I344" s="90"/>
    </row>
    <row r="345" ht="13.5" customHeight="1">
      <c r="A345" s="90">
        <v>341.0</v>
      </c>
      <c r="B345" s="139">
        <v>45994.0</v>
      </c>
      <c r="C345" s="90">
        <v>91.0</v>
      </c>
      <c r="D345" s="90">
        <v>36.0</v>
      </c>
      <c r="E345" s="90" t="s">
        <v>365</v>
      </c>
      <c r="F345" s="90" t="s">
        <v>325</v>
      </c>
      <c r="G345" s="139">
        <v>45994.0</v>
      </c>
      <c r="H345" s="159" t="s">
        <v>69</v>
      </c>
      <c r="I345" s="90"/>
    </row>
    <row r="346" ht="13.5" customHeight="1">
      <c r="A346" s="90">
        <v>342.0</v>
      </c>
      <c r="B346" s="139">
        <v>45994.0</v>
      </c>
      <c r="C346" s="90">
        <v>98.0</v>
      </c>
      <c r="D346" s="90">
        <v>10.0</v>
      </c>
      <c r="E346" s="90" t="s">
        <v>366</v>
      </c>
      <c r="F346" s="90" t="s">
        <v>325</v>
      </c>
      <c r="G346" s="139">
        <v>45994.0</v>
      </c>
      <c r="H346" s="159" t="s">
        <v>69</v>
      </c>
      <c r="I346" s="90"/>
    </row>
    <row r="347" ht="13.5" customHeight="1">
      <c r="A347" s="90">
        <v>343.0</v>
      </c>
      <c r="B347" s="139">
        <v>45994.0</v>
      </c>
      <c r="C347" s="90">
        <v>112.0</v>
      </c>
      <c r="D347" s="90">
        <v>89.0</v>
      </c>
      <c r="E347" s="90" t="s">
        <v>367</v>
      </c>
      <c r="F347" s="93" t="s">
        <v>309</v>
      </c>
      <c r="G347" s="139">
        <v>45994.0</v>
      </c>
      <c r="H347" s="159" t="s">
        <v>69</v>
      </c>
      <c r="I347" s="90"/>
    </row>
    <row r="348" ht="13.5" customHeight="1">
      <c r="A348" s="90">
        <v>344.0</v>
      </c>
      <c r="B348" s="139">
        <v>45994.0</v>
      </c>
      <c r="C348" s="90">
        <v>121.0</v>
      </c>
      <c r="D348" s="90">
        <v>48.0</v>
      </c>
      <c r="E348" s="90" t="s">
        <v>368</v>
      </c>
      <c r="F348" s="90" t="s">
        <v>309</v>
      </c>
      <c r="G348" s="139">
        <v>45994.0</v>
      </c>
      <c r="H348" s="159" t="s">
        <v>69</v>
      </c>
      <c r="I348" s="90"/>
    </row>
    <row r="349" ht="13.5" customHeight="1">
      <c r="A349" s="90">
        <v>345.0</v>
      </c>
      <c r="B349" s="139">
        <v>45994.0</v>
      </c>
      <c r="C349" s="90">
        <v>121.0</v>
      </c>
      <c r="D349" s="90">
        <v>64.0</v>
      </c>
      <c r="E349" s="90" t="s">
        <v>363</v>
      </c>
      <c r="F349" s="93" t="s">
        <v>309</v>
      </c>
      <c r="G349" s="139">
        <v>45994.0</v>
      </c>
      <c r="H349" s="159" t="s">
        <v>69</v>
      </c>
      <c r="I349" s="90"/>
    </row>
    <row r="350" ht="13.5" customHeight="1">
      <c r="A350" s="90">
        <v>346.0</v>
      </c>
      <c r="B350" s="139">
        <v>45994.0</v>
      </c>
      <c r="C350" s="90">
        <v>127.0</v>
      </c>
      <c r="D350" s="90">
        <v>108.0</v>
      </c>
      <c r="E350" s="90" t="s">
        <v>358</v>
      </c>
      <c r="F350" s="93" t="s">
        <v>309</v>
      </c>
      <c r="G350" s="139">
        <v>45994.0</v>
      </c>
      <c r="H350" s="159" t="s">
        <v>69</v>
      </c>
      <c r="I350" s="90"/>
    </row>
    <row r="351" ht="13.5" customHeight="1">
      <c r="A351" s="90">
        <v>347.0</v>
      </c>
      <c r="B351" s="139">
        <v>45994.0</v>
      </c>
      <c r="C351" s="90">
        <v>58.0</v>
      </c>
      <c r="D351" s="90">
        <v>26.0</v>
      </c>
      <c r="E351" s="90" t="s">
        <v>311</v>
      </c>
      <c r="F351" s="78" t="s">
        <v>69</v>
      </c>
      <c r="G351" s="146">
        <v>46002.0</v>
      </c>
      <c r="H351" s="159" t="s">
        <v>69</v>
      </c>
      <c r="I351" s="90" t="s">
        <v>340</v>
      </c>
    </row>
    <row r="352" ht="13.5" customHeight="1">
      <c r="A352" s="90">
        <v>348.0</v>
      </c>
      <c r="B352" s="146">
        <v>45995.0</v>
      </c>
      <c r="C352" s="164">
        <v>4.0</v>
      </c>
      <c r="D352" s="164">
        <v>26.0</v>
      </c>
      <c r="E352" s="164" t="s">
        <v>337</v>
      </c>
      <c r="F352" s="164" t="s">
        <v>369</v>
      </c>
      <c r="G352" s="146">
        <v>45995.0</v>
      </c>
      <c r="H352" s="159" t="s">
        <v>69</v>
      </c>
      <c r="I352" s="85"/>
    </row>
    <row r="353" ht="13.5" customHeight="1">
      <c r="A353" s="90">
        <v>349.0</v>
      </c>
      <c r="B353" s="146">
        <v>45995.0</v>
      </c>
      <c r="C353" s="164">
        <v>4.0</v>
      </c>
      <c r="D353" s="164">
        <v>61.0</v>
      </c>
      <c r="E353" s="164" t="s">
        <v>310</v>
      </c>
      <c r="F353" s="164" t="s">
        <v>369</v>
      </c>
      <c r="G353" s="146">
        <v>45995.0</v>
      </c>
      <c r="H353" s="159" t="s">
        <v>69</v>
      </c>
      <c r="I353" s="85"/>
    </row>
    <row r="354" ht="13.5" customHeight="1">
      <c r="A354" s="90">
        <v>350.0</v>
      </c>
      <c r="B354" s="146">
        <v>45995.0</v>
      </c>
      <c r="C354" s="164">
        <v>8.0</v>
      </c>
      <c r="D354" s="164">
        <v>113.0</v>
      </c>
      <c r="E354" s="164" t="s">
        <v>337</v>
      </c>
      <c r="F354" s="164" t="s">
        <v>369</v>
      </c>
      <c r="G354" s="146">
        <v>45995.0</v>
      </c>
      <c r="H354" s="159" t="s">
        <v>69</v>
      </c>
      <c r="I354" s="85"/>
    </row>
    <row r="355" ht="13.5" customHeight="1">
      <c r="A355" s="90">
        <v>351.0</v>
      </c>
      <c r="B355" s="146">
        <v>45995.0</v>
      </c>
      <c r="C355" s="78">
        <v>25.0</v>
      </c>
      <c r="D355" s="78">
        <v>63.0</v>
      </c>
      <c r="E355" s="78" t="s">
        <v>370</v>
      </c>
      <c r="F355" s="78" t="s">
        <v>369</v>
      </c>
      <c r="G355" s="146">
        <v>45995.0</v>
      </c>
      <c r="H355" s="159" t="s">
        <v>69</v>
      </c>
      <c r="I355" s="85"/>
    </row>
    <row r="356" ht="13.5" customHeight="1">
      <c r="A356" s="90">
        <v>352.0</v>
      </c>
      <c r="B356" s="146">
        <v>45995.0</v>
      </c>
      <c r="C356" s="78">
        <v>37.0</v>
      </c>
      <c r="D356" s="78">
        <v>71.0</v>
      </c>
      <c r="E356" s="78" t="s">
        <v>335</v>
      </c>
      <c r="F356" s="78" t="s">
        <v>369</v>
      </c>
      <c r="G356" s="146">
        <v>45995.0</v>
      </c>
      <c r="H356" s="159" t="s">
        <v>69</v>
      </c>
      <c r="I356" s="85"/>
    </row>
    <row r="357" ht="13.5" customHeight="1">
      <c r="A357" s="90">
        <v>353.0</v>
      </c>
      <c r="B357" s="146">
        <v>45995.0</v>
      </c>
      <c r="C357" s="78">
        <v>42.0</v>
      </c>
      <c r="D357" s="78">
        <v>125.0</v>
      </c>
      <c r="E357" s="78" t="s">
        <v>308</v>
      </c>
      <c r="F357" s="78" t="s">
        <v>371</v>
      </c>
      <c r="G357" s="146">
        <v>45995.0</v>
      </c>
      <c r="H357" s="159" t="s">
        <v>69</v>
      </c>
      <c r="I357" s="85"/>
    </row>
    <row r="358" ht="13.5" customHeight="1">
      <c r="A358" s="90">
        <v>354.0</v>
      </c>
      <c r="B358" s="146">
        <v>45995.0</v>
      </c>
      <c r="C358" s="78">
        <v>46.0</v>
      </c>
      <c r="D358" s="78">
        <v>98.0</v>
      </c>
      <c r="E358" s="78" t="s">
        <v>323</v>
      </c>
      <c r="F358" s="78" t="s">
        <v>369</v>
      </c>
      <c r="G358" s="146">
        <v>45995.0</v>
      </c>
      <c r="H358" s="159" t="s">
        <v>69</v>
      </c>
      <c r="I358" s="85"/>
    </row>
    <row r="359" ht="13.5" customHeight="1">
      <c r="A359" s="90">
        <v>355.0</v>
      </c>
      <c r="B359" s="146">
        <v>45995.0</v>
      </c>
      <c r="C359" s="78">
        <v>54.0</v>
      </c>
      <c r="D359" s="78">
        <v>104.0</v>
      </c>
      <c r="E359" s="78" t="s">
        <v>337</v>
      </c>
      <c r="F359" s="78" t="s">
        <v>369</v>
      </c>
      <c r="G359" s="146">
        <v>45995.0</v>
      </c>
      <c r="H359" s="159" t="s">
        <v>69</v>
      </c>
      <c r="I359" s="85"/>
    </row>
    <row r="360" ht="13.5" customHeight="1">
      <c r="A360" s="90">
        <v>356.0</v>
      </c>
      <c r="B360" s="146">
        <v>45995.0</v>
      </c>
      <c r="C360" s="78">
        <v>62.0</v>
      </c>
      <c r="D360" s="78">
        <v>80.0</v>
      </c>
      <c r="E360" s="78" t="s">
        <v>323</v>
      </c>
      <c r="F360" s="78" t="s">
        <v>369</v>
      </c>
      <c r="G360" s="146">
        <v>45995.0</v>
      </c>
      <c r="H360" s="159" t="s">
        <v>69</v>
      </c>
      <c r="I360" s="85"/>
    </row>
    <row r="361" ht="13.5" customHeight="1">
      <c r="A361" s="90">
        <v>357.0</v>
      </c>
      <c r="B361" s="146">
        <v>45995.0</v>
      </c>
      <c r="C361" s="164">
        <v>70.0</v>
      </c>
      <c r="D361" s="164">
        <v>49.0</v>
      </c>
      <c r="E361" s="164" t="s">
        <v>323</v>
      </c>
      <c r="F361" s="164" t="s">
        <v>369</v>
      </c>
      <c r="G361" s="146">
        <v>45995.0</v>
      </c>
      <c r="H361" s="159" t="s">
        <v>69</v>
      </c>
      <c r="I361" s="85"/>
    </row>
    <row r="362" ht="13.5" customHeight="1">
      <c r="A362" s="90">
        <v>358.0</v>
      </c>
      <c r="B362" s="146">
        <v>45995.0</v>
      </c>
      <c r="C362" s="164">
        <v>70.0</v>
      </c>
      <c r="D362" s="164">
        <v>61.0</v>
      </c>
      <c r="E362" s="164" t="s">
        <v>323</v>
      </c>
      <c r="F362" s="164" t="s">
        <v>369</v>
      </c>
      <c r="G362" s="146">
        <v>45995.0</v>
      </c>
      <c r="H362" s="159" t="s">
        <v>69</v>
      </c>
      <c r="I362" s="85"/>
    </row>
    <row r="363" ht="13.5" customHeight="1">
      <c r="A363" s="90">
        <v>359.0</v>
      </c>
      <c r="B363" s="146">
        <v>45995.0</v>
      </c>
      <c r="C363" s="164">
        <v>80.0</v>
      </c>
      <c r="D363" s="164">
        <v>95.0</v>
      </c>
      <c r="E363" s="164" t="s">
        <v>335</v>
      </c>
      <c r="F363" s="164" t="s">
        <v>362</v>
      </c>
      <c r="G363" s="146">
        <v>45995.0</v>
      </c>
      <c r="H363" s="159" t="s">
        <v>69</v>
      </c>
      <c r="I363" s="85"/>
    </row>
    <row r="364" ht="13.5" customHeight="1">
      <c r="A364" s="90">
        <v>360.0</v>
      </c>
      <c r="B364" s="146">
        <v>45995.0</v>
      </c>
      <c r="C364" s="164">
        <v>82.0</v>
      </c>
      <c r="D364" s="164">
        <v>30.0</v>
      </c>
      <c r="E364" s="164" t="s">
        <v>337</v>
      </c>
      <c r="F364" s="164" t="s">
        <v>369</v>
      </c>
      <c r="G364" s="146">
        <v>45995.0</v>
      </c>
      <c r="H364" s="159" t="s">
        <v>69</v>
      </c>
      <c r="I364" s="85"/>
    </row>
    <row r="365" ht="13.5" customHeight="1">
      <c r="A365" s="90">
        <v>361.0</v>
      </c>
      <c r="B365" s="146">
        <v>45995.0</v>
      </c>
      <c r="C365" s="164">
        <v>83.0</v>
      </c>
      <c r="D365" s="164">
        <v>143.0</v>
      </c>
      <c r="E365" s="164" t="s">
        <v>310</v>
      </c>
      <c r="F365" s="164" t="s">
        <v>369</v>
      </c>
      <c r="G365" s="146">
        <v>45995.0</v>
      </c>
      <c r="H365" s="159" t="s">
        <v>69</v>
      </c>
      <c r="I365" s="85"/>
    </row>
    <row r="366" ht="13.5" customHeight="1">
      <c r="A366" s="90">
        <v>362.0</v>
      </c>
      <c r="B366" s="146">
        <v>45995.0</v>
      </c>
      <c r="C366" s="164">
        <v>86.0</v>
      </c>
      <c r="D366" s="164">
        <v>23.0</v>
      </c>
      <c r="E366" s="164" t="s">
        <v>337</v>
      </c>
      <c r="F366" s="164" t="s">
        <v>369</v>
      </c>
      <c r="G366" s="146">
        <v>45995.0</v>
      </c>
      <c r="H366" s="159" t="s">
        <v>69</v>
      </c>
      <c r="I366" s="85"/>
    </row>
    <row r="367" ht="13.5" customHeight="1">
      <c r="A367" s="90">
        <v>363.0</v>
      </c>
      <c r="B367" s="146">
        <v>45995.0</v>
      </c>
      <c r="C367" s="164">
        <v>86.0</v>
      </c>
      <c r="D367" s="164">
        <v>32.0</v>
      </c>
      <c r="E367" s="164" t="s">
        <v>337</v>
      </c>
      <c r="F367" s="164" t="s">
        <v>369</v>
      </c>
      <c r="G367" s="146">
        <v>45995.0</v>
      </c>
      <c r="H367" s="159" t="s">
        <v>69</v>
      </c>
      <c r="I367" s="85"/>
    </row>
    <row r="368" ht="13.5" customHeight="1">
      <c r="A368" s="90">
        <v>364.0</v>
      </c>
      <c r="B368" s="146">
        <v>45995.0</v>
      </c>
      <c r="C368" s="164">
        <v>86.0</v>
      </c>
      <c r="D368" s="164">
        <v>61.0</v>
      </c>
      <c r="E368" s="164" t="s">
        <v>337</v>
      </c>
      <c r="F368" s="164" t="s">
        <v>369</v>
      </c>
      <c r="G368" s="146">
        <v>45995.0</v>
      </c>
      <c r="H368" s="159" t="s">
        <v>69</v>
      </c>
      <c r="I368" s="85"/>
    </row>
    <row r="369" ht="13.5" customHeight="1">
      <c r="A369" s="90">
        <v>365.0</v>
      </c>
      <c r="B369" s="146">
        <v>45995.0</v>
      </c>
      <c r="C369" s="164">
        <v>86.0</v>
      </c>
      <c r="D369" s="164">
        <v>84.0</v>
      </c>
      <c r="E369" s="164" t="s">
        <v>337</v>
      </c>
      <c r="F369" s="164" t="s">
        <v>369</v>
      </c>
      <c r="G369" s="146">
        <v>45995.0</v>
      </c>
      <c r="H369" s="159" t="s">
        <v>69</v>
      </c>
      <c r="I369" s="85"/>
    </row>
    <row r="370" ht="13.5" customHeight="1">
      <c r="A370" s="90">
        <v>366.0</v>
      </c>
      <c r="B370" s="146">
        <v>45995.0</v>
      </c>
      <c r="C370" s="164">
        <v>86.0</v>
      </c>
      <c r="D370" s="164">
        <v>108.0</v>
      </c>
      <c r="E370" s="164" t="s">
        <v>337</v>
      </c>
      <c r="F370" s="164" t="s">
        <v>369</v>
      </c>
      <c r="G370" s="146">
        <v>45995.0</v>
      </c>
      <c r="H370" s="159" t="s">
        <v>69</v>
      </c>
      <c r="I370" s="85"/>
    </row>
    <row r="371" ht="13.5" customHeight="1">
      <c r="A371" s="90">
        <v>367.0</v>
      </c>
      <c r="B371" s="146">
        <v>45995.0</v>
      </c>
      <c r="C371" s="164">
        <v>91.0</v>
      </c>
      <c r="D371" s="164">
        <v>36.0</v>
      </c>
      <c r="E371" s="164" t="s">
        <v>308</v>
      </c>
      <c r="F371" s="164" t="s">
        <v>372</v>
      </c>
      <c r="G371" s="146">
        <v>45995.0</v>
      </c>
      <c r="H371" s="159" t="s">
        <v>69</v>
      </c>
      <c r="I371" s="85"/>
    </row>
    <row r="372" ht="13.5" customHeight="1">
      <c r="A372" s="90">
        <v>368.0</v>
      </c>
      <c r="B372" s="146">
        <v>45995.0</v>
      </c>
      <c r="C372" s="164">
        <v>94.0</v>
      </c>
      <c r="D372" s="164">
        <v>19.0</v>
      </c>
      <c r="E372" s="164" t="s">
        <v>337</v>
      </c>
      <c r="F372" s="164" t="s">
        <v>369</v>
      </c>
      <c r="G372" s="146">
        <v>45995.0</v>
      </c>
      <c r="H372" s="159" t="s">
        <v>69</v>
      </c>
      <c r="I372" s="85"/>
    </row>
    <row r="373" ht="13.5" customHeight="1">
      <c r="A373" s="90">
        <v>369.0</v>
      </c>
      <c r="B373" s="146">
        <v>45995.0</v>
      </c>
      <c r="C373" s="164">
        <v>95.0</v>
      </c>
      <c r="D373" s="164">
        <v>66.0</v>
      </c>
      <c r="E373" s="164" t="s">
        <v>337</v>
      </c>
      <c r="F373" s="164" t="s">
        <v>369</v>
      </c>
      <c r="G373" s="146">
        <v>45995.0</v>
      </c>
      <c r="H373" s="159" t="s">
        <v>69</v>
      </c>
      <c r="I373" s="85"/>
    </row>
    <row r="374" ht="13.5" customHeight="1">
      <c r="A374" s="90">
        <v>370.0</v>
      </c>
      <c r="B374" s="146">
        <v>45995.0</v>
      </c>
      <c r="C374" s="164">
        <v>101.0</v>
      </c>
      <c r="D374" s="164">
        <v>4.0</v>
      </c>
      <c r="E374" s="164" t="s">
        <v>337</v>
      </c>
      <c r="F374" s="164" t="s">
        <v>309</v>
      </c>
      <c r="G374" s="146">
        <v>45995.0</v>
      </c>
      <c r="H374" s="159" t="s">
        <v>69</v>
      </c>
      <c r="I374" s="85"/>
    </row>
    <row r="375" ht="13.5" customHeight="1">
      <c r="A375" s="90">
        <v>371.0</v>
      </c>
      <c r="B375" s="146">
        <v>45995.0</v>
      </c>
      <c r="C375" s="164">
        <v>101.0</v>
      </c>
      <c r="D375" s="164">
        <v>5.0</v>
      </c>
      <c r="E375" s="164" t="s">
        <v>337</v>
      </c>
      <c r="F375" s="164" t="s">
        <v>309</v>
      </c>
      <c r="G375" s="146">
        <v>45995.0</v>
      </c>
      <c r="H375" s="159" t="s">
        <v>69</v>
      </c>
      <c r="I375" s="85"/>
    </row>
    <row r="376" ht="13.5" customHeight="1">
      <c r="A376" s="90">
        <v>372.0</v>
      </c>
      <c r="B376" s="146">
        <v>45995.0</v>
      </c>
      <c r="C376" s="164">
        <v>101.0</v>
      </c>
      <c r="D376" s="164">
        <v>33.0</v>
      </c>
      <c r="E376" s="164" t="s">
        <v>337</v>
      </c>
      <c r="F376" s="164" t="s">
        <v>309</v>
      </c>
      <c r="G376" s="146">
        <v>45995.0</v>
      </c>
      <c r="H376" s="159" t="s">
        <v>69</v>
      </c>
      <c r="I376" s="85"/>
    </row>
    <row r="377" ht="13.5" customHeight="1">
      <c r="A377" s="90">
        <v>373.0</v>
      </c>
      <c r="B377" s="146">
        <v>45995.0</v>
      </c>
      <c r="C377" s="164">
        <v>101.0</v>
      </c>
      <c r="D377" s="164">
        <v>43.0</v>
      </c>
      <c r="E377" s="164" t="s">
        <v>337</v>
      </c>
      <c r="F377" s="164" t="s">
        <v>309</v>
      </c>
      <c r="G377" s="146">
        <v>45995.0</v>
      </c>
      <c r="H377" s="159" t="s">
        <v>69</v>
      </c>
      <c r="I377" s="85"/>
    </row>
    <row r="378" ht="13.5" customHeight="1">
      <c r="A378" s="90">
        <v>374.0</v>
      </c>
      <c r="B378" s="146">
        <v>45995.0</v>
      </c>
      <c r="C378" s="164">
        <v>101.0</v>
      </c>
      <c r="D378" s="164">
        <v>45.0</v>
      </c>
      <c r="E378" s="164" t="s">
        <v>337</v>
      </c>
      <c r="F378" s="164" t="s">
        <v>309</v>
      </c>
      <c r="G378" s="146">
        <v>45995.0</v>
      </c>
      <c r="H378" s="159" t="s">
        <v>69</v>
      </c>
      <c r="I378" s="85"/>
    </row>
    <row r="379" ht="13.5" customHeight="1">
      <c r="A379" s="90">
        <v>375.0</v>
      </c>
      <c r="B379" s="146">
        <v>45995.0</v>
      </c>
      <c r="C379" s="164">
        <v>101.0</v>
      </c>
      <c r="D379" s="164">
        <v>60.0</v>
      </c>
      <c r="E379" s="164" t="s">
        <v>337</v>
      </c>
      <c r="F379" s="164" t="s">
        <v>309</v>
      </c>
      <c r="G379" s="146">
        <v>45995.0</v>
      </c>
      <c r="H379" s="159" t="s">
        <v>69</v>
      </c>
      <c r="I379" s="85"/>
    </row>
    <row r="380" ht="13.5" customHeight="1">
      <c r="A380" s="90">
        <v>376.0</v>
      </c>
      <c r="B380" s="146">
        <v>45995.0</v>
      </c>
      <c r="C380" s="164">
        <v>101.0</v>
      </c>
      <c r="D380" s="164">
        <v>82.0</v>
      </c>
      <c r="E380" s="164" t="s">
        <v>337</v>
      </c>
      <c r="F380" s="164" t="s">
        <v>309</v>
      </c>
      <c r="G380" s="146">
        <v>45995.0</v>
      </c>
      <c r="H380" s="159" t="s">
        <v>69</v>
      </c>
      <c r="I380" s="85"/>
    </row>
    <row r="381" ht="13.5" customHeight="1">
      <c r="A381" s="90">
        <v>377.0</v>
      </c>
      <c r="B381" s="146">
        <v>45995.0</v>
      </c>
      <c r="C381" s="164">
        <v>101.0</v>
      </c>
      <c r="D381" s="164">
        <v>88.0</v>
      </c>
      <c r="E381" s="164" t="s">
        <v>337</v>
      </c>
      <c r="F381" s="164" t="s">
        <v>309</v>
      </c>
      <c r="G381" s="146">
        <v>45995.0</v>
      </c>
      <c r="H381" s="159" t="s">
        <v>69</v>
      </c>
      <c r="I381" s="85"/>
    </row>
    <row r="382" ht="13.5" customHeight="1">
      <c r="A382" s="90">
        <v>378.0</v>
      </c>
      <c r="B382" s="146">
        <v>45995.0</v>
      </c>
      <c r="C382" s="164">
        <v>101.0</v>
      </c>
      <c r="D382" s="164">
        <v>95.0</v>
      </c>
      <c r="E382" s="164" t="s">
        <v>337</v>
      </c>
      <c r="F382" s="164" t="s">
        <v>309</v>
      </c>
      <c r="G382" s="146">
        <v>45995.0</v>
      </c>
      <c r="H382" s="159" t="s">
        <v>69</v>
      </c>
      <c r="I382" s="85"/>
    </row>
    <row r="383" ht="13.5" customHeight="1">
      <c r="A383" s="90">
        <v>379.0</v>
      </c>
      <c r="B383" s="146">
        <v>45995.0</v>
      </c>
      <c r="C383" s="164">
        <v>101.0</v>
      </c>
      <c r="D383" s="164">
        <v>99.0</v>
      </c>
      <c r="E383" s="164" t="s">
        <v>337</v>
      </c>
      <c r="F383" s="164" t="s">
        <v>309</v>
      </c>
      <c r="G383" s="146">
        <v>45995.0</v>
      </c>
      <c r="H383" s="159" t="s">
        <v>69</v>
      </c>
      <c r="I383" s="85"/>
    </row>
    <row r="384" ht="13.5" customHeight="1">
      <c r="A384" s="90">
        <v>380.0</v>
      </c>
      <c r="B384" s="146">
        <v>45995.0</v>
      </c>
      <c r="C384" s="164">
        <v>101.0</v>
      </c>
      <c r="D384" s="164">
        <v>101.0</v>
      </c>
      <c r="E384" s="164" t="s">
        <v>337</v>
      </c>
      <c r="F384" s="164" t="s">
        <v>309</v>
      </c>
      <c r="G384" s="146">
        <v>45995.0</v>
      </c>
      <c r="H384" s="159" t="s">
        <v>69</v>
      </c>
      <c r="I384" s="85"/>
    </row>
    <row r="385" ht="13.5" customHeight="1">
      <c r="A385" s="90">
        <v>381.0</v>
      </c>
      <c r="B385" s="146">
        <v>45995.0</v>
      </c>
      <c r="C385" s="164">
        <v>112.0</v>
      </c>
      <c r="D385" s="164">
        <v>89.0</v>
      </c>
      <c r="E385" s="164" t="s">
        <v>323</v>
      </c>
      <c r="F385" s="164" t="s">
        <v>369</v>
      </c>
      <c r="G385" s="146">
        <v>45995.0</v>
      </c>
      <c r="H385" s="159" t="s">
        <v>69</v>
      </c>
      <c r="I385" s="85"/>
    </row>
    <row r="386" ht="13.5" customHeight="1">
      <c r="A386" s="90">
        <v>382.0</v>
      </c>
      <c r="B386" s="146">
        <v>45995.0</v>
      </c>
      <c r="C386" s="164">
        <v>115.0</v>
      </c>
      <c r="D386" s="164">
        <v>116.0</v>
      </c>
      <c r="E386" s="164" t="s">
        <v>337</v>
      </c>
      <c r="F386" s="164" t="s">
        <v>309</v>
      </c>
      <c r="G386" s="146">
        <v>45995.0</v>
      </c>
      <c r="H386" s="159" t="s">
        <v>69</v>
      </c>
      <c r="I386" s="85"/>
    </row>
    <row r="387" ht="13.5" customHeight="1">
      <c r="A387" s="90">
        <v>383.0</v>
      </c>
      <c r="B387" s="146">
        <v>45995.0</v>
      </c>
      <c r="C387" s="164">
        <v>118.0</v>
      </c>
      <c r="D387" s="164">
        <v>89.0</v>
      </c>
      <c r="E387" s="164" t="s">
        <v>337</v>
      </c>
      <c r="F387" s="164" t="s">
        <v>309</v>
      </c>
      <c r="G387" s="146">
        <v>45995.0</v>
      </c>
      <c r="H387" s="159" t="s">
        <v>69</v>
      </c>
      <c r="I387" s="85"/>
    </row>
    <row r="388" ht="13.5" customHeight="1">
      <c r="A388" s="90">
        <v>384.0</v>
      </c>
      <c r="B388" s="146">
        <v>45995.0</v>
      </c>
      <c r="C388" s="164">
        <v>121.0</v>
      </c>
      <c r="D388" s="164">
        <v>48.0</v>
      </c>
      <c r="E388" s="164" t="s">
        <v>310</v>
      </c>
      <c r="F388" s="164" t="s">
        <v>309</v>
      </c>
      <c r="G388" s="146">
        <v>45995.0</v>
      </c>
      <c r="H388" s="159" t="s">
        <v>69</v>
      </c>
      <c r="I388" s="85"/>
    </row>
    <row r="389" ht="13.5" customHeight="1">
      <c r="A389" s="90">
        <v>385.0</v>
      </c>
      <c r="B389" s="146">
        <v>45995.0</v>
      </c>
      <c r="C389" s="164">
        <v>125.0</v>
      </c>
      <c r="D389" s="164">
        <v>108.0</v>
      </c>
      <c r="E389" s="164" t="s">
        <v>337</v>
      </c>
      <c r="F389" s="164" t="s">
        <v>309</v>
      </c>
      <c r="G389" s="146">
        <v>45995.0</v>
      </c>
      <c r="H389" s="159" t="s">
        <v>69</v>
      </c>
      <c r="I389" s="85"/>
    </row>
    <row r="390" ht="13.5" customHeight="1">
      <c r="A390" s="90">
        <v>386.0</v>
      </c>
      <c r="B390" s="146">
        <v>45995.0</v>
      </c>
      <c r="C390" s="164">
        <v>125.0</v>
      </c>
      <c r="D390" s="164">
        <v>116.0</v>
      </c>
      <c r="E390" s="164" t="s">
        <v>335</v>
      </c>
      <c r="F390" s="164" t="s">
        <v>341</v>
      </c>
      <c r="G390" s="146">
        <v>45995.0</v>
      </c>
      <c r="H390" s="159" t="s">
        <v>69</v>
      </c>
      <c r="I390" s="85"/>
    </row>
    <row r="391" ht="13.5" customHeight="1">
      <c r="A391" s="90">
        <v>387.0</v>
      </c>
      <c r="B391" s="146">
        <v>45995.0</v>
      </c>
      <c r="C391" s="164">
        <v>125.0</v>
      </c>
      <c r="D391" s="164">
        <v>118.0</v>
      </c>
      <c r="E391" s="164" t="s">
        <v>322</v>
      </c>
      <c r="F391" s="164" t="s">
        <v>309</v>
      </c>
      <c r="G391" s="146">
        <v>45995.0</v>
      </c>
      <c r="H391" s="159" t="s">
        <v>69</v>
      </c>
      <c r="I391" s="85"/>
    </row>
    <row r="392" ht="13.5" customHeight="1">
      <c r="A392" s="90">
        <v>388.0</v>
      </c>
      <c r="B392" s="146">
        <v>45995.0</v>
      </c>
      <c r="C392" s="164">
        <v>125.0</v>
      </c>
      <c r="D392" s="164">
        <v>122.0</v>
      </c>
      <c r="E392" s="164" t="s">
        <v>335</v>
      </c>
      <c r="F392" s="164" t="s">
        <v>341</v>
      </c>
      <c r="G392" s="146">
        <v>45995.0</v>
      </c>
      <c r="H392" s="159" t="s">
        <v>69</v>
      </c>
      <c r="I392" s="85"/>
    </row>
    <row r="393" ht="13.5" customHeight="1">
      <c r="A393" s="90">
        <v>389.0</v>
      </c>
      <c r="B393" s="146">
        <v>45995.0</v>
      </c>
      <c r="C393" s="164">
        <v>129.0</v>
      </c>
      <c r="D393" s="164">
        <v>112.0</v>
      </c>
      <c r="E393" s="164" t="s">
        <v>335</v>
      </c>
      <c r="F393" s="164" t="s">
        <v>362</v>
      </c>
      <c r="G393" s="146">
        <v>45995.0</v>
      </c>
      <c r="H393" s="159" t="s">
        <v>69</v>
      </c>
      <c r="I393" s="85"/>
    </row>
    <row r="394" ht="13.5" customHeight="1">
      <c r="A394" s="90">
        <v>390.0</v>
      </c>
      <c r="B394" s="146">
        <v>45995.0</v>
      </c>
      <c r="C394" s="78">
        <v>132.0</v>
      </c>
      <c r="D394" s="78">
        <v>53.0</v>
      </c>
      <c r="E394" s="164" t="s">
        <v>337</v>
      </c>
      <c r="F394" s="78" t="s">
        <v>309</v>
      </c>
      <c r="G394" s="146">
        <v>45995.0</v>
      </c>
      <c r="H394" s="159" t="s">
        <v>69</v>
      </c>
      <c r="I394" s="85"/>
    </row>
    <row r="395" ht="13.5" customHeight="1">
      <c r="A395" s="90">
        <v>391.0</v>
      </c>
      <c r="B395" s="146">
        <v>45997.0</v>
      </c>
      <c r="C395" s="164">
        <v>4.0</v>
      </c>
      <c r="D395" s="164">
        <v>26.0</v>
      </c>
      <c r="E395" s="164" t="s">
        <v>337</v>
      </c>
      <c r="F395" s="164" t="s">
        <v>309</v>
      </c>
      <c r="G395" s="146">
        <v>45997.0</v>
      </c>
      <c r="H395" s="159" t="s">
        <v>69</v>
      </c>
      <c r="I395" s="85"/>
    </row>
    <row r="396" ht="13.5" customHeight="1">
      <c r="A396" s="90">
        <v>392.0</v>
      </c>
      <c r="B396" s="146">
        <v>45997.0</v>
      </c>
      <c r="C396" s="164">
        <v>4.0</v>
      </c>
      <c r="D396" s="164">
        <v>61.0</v>
      </c>
      <c r="E396" s="164" t="s">
        <v>310</v>
      </c>
      <c r="F396" s="164" t="s">
        <v>309</v>
      </c>
      <c r="G396" s="146">
        <v>45997.0</v>
      </c>
      <c r="H396" s="159" t="s">
        <v>69</v>
      </c>
      <c r="I396" s="85"/>
    </row>
    <row r="397" ht="13.5" customHeight="1">
      <c r="A397" s="90">
        <v>393.0</v>
      </c>
      <c r="B397" s="146">
        <v>45997.0</v>
      </c>
      <c r="C397" s="164">
        <v>28.0</v>
      </c>
      <c r="D397" s="164">
        <v>64.0</v>
      </c>
      <c r="E397" s="164" t="s">
        <v>323</v>
      </c>
      <c r="F397" s="164" t="s">
        <v>309</v>
      </c>
      <c r="G397" s="146">
        <v>45997.0</v>
      </c>
      <c r="H397" s="159" t="s">
        <v>69</v>
      </c>
      <c r="I397" s="85"/>
    </row>
    <row r="398" ht="13.5" customHeight="1">
      <c r="A398" s="90">
        <v>394.0</v>
      </c>
      <c r="B398" s="146">
        <v>45997.0</v>
      </c>
      <c r="C398" s="164">
        <v>37.0</v>
      </c>
      <c r="D398" s="164">
        <v>124.0</v>
      </c>
      <c r="E398" s="164" t="s">
        <v>323</v>
      </c>
      <c r="F398" s="164" t="s">
        <v>309</v>
      </c>
      <c r="G398" s="146">
        <v>45997.0</v>
      </c>
      <c r="H398" s="159" t="s">
        <v>69</v>
      </c>
      <c r="I398" s="85"/>
    </row>
    <row r="399" ht="13.5" customHeight="1">
      <c r="A399" s="90">
        <v>395.0</v>
      </c>
      <c r="B399" s="146">
        <v>45997.0</v>
      </c>
      <c r="C399" s="164">
        <v>54.0</v>
      </c>
      <c r="D399" s="164">
        <v>104.0</v>
      </c>
      <c r="E399" s="164" t="s">
        <v>323</v>
      </c>
      <c r="F399" s="164" t="s">
        <v>309</v>
      </c>
      <c r="G399" s="146">
        <v>45997.0</v>
      </c>
      <c r="H399" s="159" t="s">
        <v>69</v>
      </c>
      <c r="I399" s="85"/>
    </row>
    <row r="400" ht="13.5" customHeight="1">
      <c r="A400" s="90">
        <v>396.0</v>
      </c>
      <c r="B400" s="146">
        <v>45997.0</v>
      </c>
      <c r="C400" s="164">
        <v>58.0</v>
      </c>
      <c r="D400" s="164">
        <v>48.0</v>
      </c>
      <c r="E400" s="164" t="s">
        <v>335</v>
      </c>
      <c r="F400" s="164" t="s">
        <v>309</v>
      </c>
      <c r="G400" s="146">
        <v>45997.0</v>
      </c>
      <c r="H400" s="159" t="s">
        <v>69</v>
      </c>
      <c r="I400" s="85"/>
    </row>
    <row r="401" ht="13.5" customHeight="1">
      <c r="A401" s="90">
        <v>397.0</v>
      </c>
      <c r="B401" s="146">
        <v>45997.0</v>
      </c>
      <c r="C401" s="164">
        <v>58.0</v>
      </c>
      <c r="D401" s="164">
        <v>119.0</v>
      </c>
      <c r="E401" s="164" t="s">
        <v>313</v>
      </c>
      <c r="F401" s="164" t="s">
        <v>309</v>
      </c>
      <c r="G401" s="146">
        <v>45997.0</v>
      </c>
      <c r="H401" s="159" t="s">
        <v>69</v>
      </c>
      <c r="I401" s="85"/>
    </row>
    <row r="402" ht="13.5" customHeight="1">
      <c r="A402" s="90">
        <v>398.0</v>
      </c>
      <c r="B402" s="146">
        <v>45997.0</v>
      </c>
      <c r="C402" s="164">
        <v>60.0</v>
      </c>
      <c r="D402" s="164">
        <v>91.0</v>
      </c>
      <c r="E402" s="164" t="s">
        <v>323</v>
      </c>
      <c r="F402" s="164" t="s">
        <v>309</v>
      </c>
      <c r="G402" s="146">
        <v>45997.0</v>
      </c>
      <c r="H402" s="159" t="s">
        <v>69</v>
      </c>
      <c r="I402" s="85"/>
    </row>
    <row r="403" ht="13.5" customHeight="1">
      <c r="A403" s="90">
        <v>399.0</v>
      </c>
      <c r="B403" s="146">
        <v>45997.0</v>
      </c>
      <c r="C403" s="164">
        <v>62.0</v>
      </c>
      <c r="D403" s="164">
        <v>80.0</v>
      </c>
      <c r="E403" s="164" t="s">
        <v>323</v>
      </c>
      <c r="F403" s="164" t="s">
        <v>309</v>
      </c>
      <c r="G403" s="146">
        <v>45997.0</v>
      </c>
      <c r="H403" s="159" t="s">
        <v>69</v>
      </c>
      <c r="I403" s="85"/>
    </row>
    <row r="404" ht="13.5" customHeight="1">
      <c r="A404" s="90">
        <v>400.0</v>
      </c>
      <c r="B404" s="146">
        <v>45997.0</v>
      </c>
      <c r="C404" s="164">
        <v>80.0</v>
      </c>
      <c r="D404" s="164">
        <v>26.0</v>
      </c>
      <c r="E404" s="164" t="s">
        <v>323</v>
      </c>
      <c r="F404" s="164" t="s">
        <v>309</v>
      </c>
      <c r="G404" s="146">
        <v>45997.0</v>
      </c>
      <c r="H404" s="159" t="s">
        <v>69</v>
      </c>
      <c r="I404" s="85"/>
    </row>
    <row r="405" ht="13.5" customHeight="1">
      <c r="A405" s="90">
        <v>401.0</v>
      </c>
      <c r="B405" s="146">
        <v>45997.0</v>
      </c>
      <c r="C405" s="164">
        <v>81.0</v>
      </c>
      <c r="D405" s="164">
        <v>125.0</v>
      </c>
      <c r="E405" s="164" t="s">
        <v>323</v>
      </c>
      <c r="F405" s="164" t="s">
        <v>309</v>
      </c>
      <c r="G405" s="146">
        <v>45997.0</v>
      </c>
      <c r="H405" s="159" t="s">
        <v>69</v>
      </c>
      <c r="I405" s="85"/>
    </row>
    <row r="406" ht="13.5" customHeight="1">
      <c r="A406" s="90">
        <v>402.0</v>
      </c>
      <c r="B406" s="146">
        <v>45997.0</v>
      </c>
      <c r="C406" s="164">
        <v>82.0</v>
      </c>
      <c r="D406" s="164">
        <v>30.0</v>
      </c>
      <c r="E406" s="164" t="s">
        <v>337</v>
      </c>
      <c r="F406" s="164" t="s">
        <v>309</v>
      </c>
      <c r="G406" s="146">
        <v>45997.0</v>
      </c>
      <c r="H406" s="159" t="s">
        <v>69</v>
      </c>
      <c r="I406" s="85"/>
    </row>
    <row r="407" ht="13.5" customHeight="1">
      <c r="A407" s="90">
        <v>403.0</v>
      </c>
      <c r="B407" s="146">
        <v>45997.0</v>
      </c>
      <c r="C407" s="164">
        <v>83.0</v>
      </c>
      <c r="D407" s="164">
        <v>143.0</v>
      </c>
      <c r="E407" s="164" t="s">
        <v>310</v>
      </c>
      <c r="F407" s="164" t="s">
        <v>309</v>
      </c>
      <c r="G407" s="146">
        <v>45997.0</v>
      </c>
      <c r="H407" s="159" t="s">
        <v>69</v>
      </c>
      <c r="I407" s="85"/>
    </row>
    <row r="408" ht="13.5" customHeight="1">
      <c r="A408" s="90">
        <v>404.0</v>
      </c>
      <c r="B408" s="146">
        <v>45997.0</v>
      </c>
      <c r="C408" s="164">
        <v>91.0</v>
      </c>
      <c r="D408" s="164">
        <v>36.0</v>
      </c>
      <c r="E408" s="164" t="s">
        <v>337</v>
      </c>
      <c r="F408" s="164" t="s">
        <v>309</v>
      </c>
      <c r="G408" s="146">
        <v>45997.0</v>
      </c>
      <c r="H408" s="159" t="s">
        <v>69</v>
      </c>
      <c r="I408" s="85"/>
    </row>
    <row r="409" ht="13.5" customHeight="1">
      <c r="A409" s="90">
        <v>405.0</v>
      </c>
      <c r="B409" s="146">
        <v>45997.0</v>
      </c>
      <c r="C409" s="164">
        <v>112.0</v>
      </c>
      <c r="D409" s="164">
        <v>85.0</v>
      </c>
      <c r="E409" s="164" t="s">
        <v>322</v>
      </c>
      <c r="F409" s="164" t="s">
        <v>320</v>
      </c>
      <c r="G409" s="146">
        <v>45997.0</v>
      </c>
      <c r="H409" s="159" t="s">
        <v>69</v>
      </c>
      <c r="I409" s="85"/>
    </row>
    <row r="410" ht="13.5" customHeight="1">
      <c r="A410" s="90">
        <v>406.0</v>
      </c>
      <c r="B410" s="146">
        <v>45997.0</v>
      </c>
      <c r="C410" s="164">
        <v>114.0</v>
      </c>
      <c r="D410" s="164">
        <v>113.0</v>
      </c>
      <c r="E410" s="164" t="s">
        <v>334</v>
      </c>
      <c r="F410" s="164" t="s">
        <v>309</v>
      </c>
      <c r="G410" s="146">
        <v>45997.0</v>
      </c>
      <c r="H410" s="159" t="s">
        <v>69</v>
      </c>
      <c r="I410" s="85"/>
    </row>
    <row r="411" ht="13.5" customHeight="1">
      <c r="A411" s="90">
        <v>407.0</v>
      </c>
      <c r="B411" s="146">
        <v>45997.0</v>
      </c>
      <c r="C411" s="164">
        <v>115.0</v>
      </c>
      <c r="D411" s="164">
        <v>116.0</v>
      </c>
      <c r="E411" s="164" t="s">
        <v>322</v>
      </c>
      <c r="F411" s="164" t="s">
        <v>320</v>
      </c>
      <c r="G411" s="146">
        <v>45997.0</v>
      </c>
      <c r="H411" s="159" t="s">
        <v>69</v>
      </c>
      <c r="I411" s="85"/>
    </row>
    <row r="412" ht="13.5" customHeight="1">
      <c r="A412" s="90">
        <v>408.0</v>
      </c>
      <c r="B412" s="146">
        <v>45997.0</v>
      </c>
      <c r="C412" s="164">
        <v>121.0</v>
      </c>
      <c r="D412" s="164">
        <v>48.0</v>
      </c>
      <c r="E412" s="164" t="s">
        <v>310</v>
      </c>
      <c r="F412" s="164" t="s">
        <v>309</v>
      </c>
      <c r="G412" s="146">
        <v>45997.0</v>
      </c>
      <c r="H412" s="159" t="s">
        <v>69</v>
      </c>
      <c r="I412" s="85"/>
    </row>
    <row r="413" ht="13.5" customHeight="1">
      <c r="A413" s="90">
        <v>409.0</v>
      </c>
      <c r="B413" s="146">
        <v>45997.0</v>
      </c>
      <c r="C413" s="164">
        <v>127.0</v>
      </c>
      <c r="D413" s="164">
        <v>127.0</v>
      </c>
      <c r="E413" s="164" t="s">
        <v>337</v>
      </c>
      <c r="F413" s="164" t="s">
        <v>309</v>
      </c>
      <c r="G413" s="146">
        <v>45997.0</v>
      </c>
      <c r="H413" s="159" t="s">
        <v>69</v>
      </c>
      <c r="I413" s="85"/>
    </row>
    <row r="414" ht="13.5" customHeight="1">
      <c r="A414" s="90">
        <v>410.0</v>
      </c>
      <c r="B414" s="146">
        <v>45997.0</v>
      </c>
      <c r="C414" s="164">
        <v>131.0</v>
      </c>
      <c r="D414" s="164">
        <v>68.0</v>
      </c>
      <c r="E414" s="164" t="s">
        <v>323</v>
      </c>
      <c r="F414" s="164" t="s">
        <v>309</v>
      </c>
      <c r="G414" s="146">
        <v>45997.0</v>
      </c>
      <c r="H414" s="159" t="s">
        <v>69</v>
      </c>
      <c r="I414" s="85"/>
    </row>
    <row r="415" ht="13.5" customHeight="1">
      <c r="A415" s="90">
        <v>411.0</v>
      </c>
      <c r="B415" s="146">
        <v>45997.0</v>
      </c>
      <c r="C415" s="164">
        <v>132.0</v>
      </c>
      <c r="D415" s="164">
        <v>53.0</v>
      </c>
      <c r="E415" s="164" t="s">
        <v>337</v>
      </c>
      <c r="F415" s="164" t="s">
        <v>309</v>
      </c>
      <c r="G415" s="146">
        <v>45997.0</v>
      </c>
      <c r="H415" s="159" t="s">
        <v>69</v>
      </c>
      <c r="I415" s="85"/>
    </row>
    <row r="416" ht="13.5" customHeight="1">
      <c r="A416" s="90">
        <v>412.0</v>
      </c>
      <c r="B416" s="146">
        <v>45998.0</v>
      </c>
      <c r="C416" s="78">
        <v>13.0</v>
      </c>
      <c r="D416" s="78">
        <v>104.0</v>
      </c>
      <c r="E416" s="164" t="s">
        <v>310</v>
      </c>
      <c r="F416" s="78" t="s">
        <v>314</v>
      </c>
      <c r="G416" s="146">
        <v>46004.0</v>
      </c>
      <c r="H416" s="159" t="s">
        <v>69</v>
      </c>
      <c r="I416" s="78" t="s">
        <v>333</v>
      </c>
    </row>
    <row r="417" ht="13.5" customHeight="1">
      <c r="A417" s="90">
        <v>413.0</v>
      </c>
      <c r="B417" s="146">
        <v>45998.0</v>
      </c>
      <c r="C417" s="78">
        <v>58.0</v>
      </c>
      <c r="D417" s="78">
        <v>48.0</v>
      </c>
      <c r="E417" s="164" t="s">
        <v>322</v>
      </c>
      <c r="F417" s="78" t="s">
        <v>314</v>
      </c>
      <c r="G417" s="146">
        <v>46002.0</v>
      </c>
      <c r="H417" s="159" t="s">
        <v>69</v>
      </c>
      <c r="I417" s="78" t="s">
        <v>333</v>
      </c>
    </row>
    <row r="418" ht="13.5" customHeight="1">
      <c r="A418" s="90">
        <v>414.0</v>
      </c>
      <c r="B418" s="146">
        <v>45998.0</v>
      </c>
      <c r="C418" s="78">
        <v>121.0</v>
      </c>
      <c r="D418" s="78">
        <v>48.0</v>
      </c>
      <c r="E418" s="164" t="s">
        <v>310</v>
      </c>
      <c r="F418" s="164" t="s">
        <v>309</v>
      </c>
      <c r="G418" s="146">
        <v>45999.0</v>
      </c>
      <c r="H418" s="159" t="s">
        <v>69</v>
      </c>
      <c r="I418" s="85"/>
    </row>
    <row r="419" ht="13.5" customHeight="1">
      <c r="A419" s="90">
        <v>415.0</v>
      </c>
      <c r="B419" s="146">
        <v>45998.0</v>
      </c>
      <c r="C419" s="78">
        <v>121.0</v>
      </c>
      <c r="D419" s="78">
        <v>98.0</v>
      </c>
      <c r="E419" s="164" t="s">
        <v>322</v>
      </c>
      <c r="F419" s="78" t="s">
        <v>314</v>
      </c>
      <c r="G419" s="146">
        <v>45999.0</v>
      </c>
      <c r="H419" s="159" t="s">
        <v>69</v>
      </c>
      <c r="I419" s="78" t="s">
        <v>332</v>
      </c>
    </row>
    <row r="420" ht="13.5" customHeight="1">
      <c r="A420" s="90">
        <v>416.0</v>
      </c>
      <c r="B420" s="146">
        <v>45998.0</v>
      </c>
      <c r="C420" s="164">
        <v>1.0</v>
      </c>
      <c r="D420" s="164">
        <v>41.0</v>
      </c>
      <c r="E420" s="164" t="s">
        <v>337</v>
      </c>
      <c r="F420" s="164" t="s">
        <v>324</v>
      </c>
      <c r="G420" s="146">
        <v>45998.0</v>
      </c>
      <c r="H420" s="159" t="s">
        <v>69</v>
      </c>
      <c r="I420" s="85"/>
    </row>
    <row r="421" ht="13.5" customHeight="1">
      <c r="A421" s="90">
        <v>417.0</v>
      </c>
      <c r="B421" s="146">
        <v>45998.0</v>
      </c>
      <c r="C421" s="164">
        <v>4.0</v>
      </c>
      <c r="D421" s="164">
        <v>26.0</v>
      </c>
      <c r="E421" s="164" t="s">
        <v>337</v>
      </c>
      <c r="F421" s="164" t="s">
        <v>324</v>
      </c>
      <c r="G421" s="146">
        <v>45998.0</v>
      </c>
      <c r="H421" s="159" t="s">
        <v>69</v>
      </c>
      <c r="I421" s="85"/>
    </row>
    <row r="422" ht="13.5" customHeight="1">
      <c r="A422" s="90">
        <v>418.0</v>
      </c>
      <c r="B422" s="146">
        <v>45998.0</v>
      </c>
      <c r="C422" s="164">
        <v>4.0</v>
      </c>
      <c r="D422" s="164">
        <v>61.0</v>
      </c>
      <c r="E422" s="164" t="s">
        <v>310</v>
      </c>
      <c r="F422" s="164" t="s">
        <v>324</v>
      </c>
      <c r="G422" s="146">
        <v>45998.0</v>
      </c>
      <c r="H422" s="159" t="s">
        <v>69</v>
      </c>
      <c r="I422" s="85"/>
    </row>
    <row r="423" ht="13.5" customHeight="1">
      <c r="A423" s="90">
        <v>419.0</v>
      </c>
      <c r="B423" s="146">
        <v>45998.0</v>
      </c>
      <c r="C423" s="164">
        <v>28.0</v>
      </c>
      <c r="D423" s="164">
        <v>64.0</v>
      </c>
      <c r="E423" s="164" t="s">
        <v>370</v>
      </c>
      <c r="F423" s="164" t="s">
        <v>309</v>
      </c>
      <c r="G423" s="146">
        <v>45998.0</v>
      </c>
      <c r="H423" s="159" t="s">
        <v>69</v>
      </c>
      <c r="I423" s="85"/>
    </row>
    <row r="424" ht="13.5" customHeight="1">
      <c r="A424" s="90">
        <v>420.0</v>
      </c>
      <c r="B424" s="146">
        <v>45998.0</v>
      </c>
      <c r="C424" s="164">
        <v>29.0</v>
      </c>
      <c r="D424" s="164">
        <v>33.0</v>
      </c>
      <c r="E424" s="164" t="s">
        <v>310</v>
      </c>
      <c r="F424" s="164" t="s">
        <v>309</v>
      </c>
      <c r="G424" s="146">
        <v>45998.0</v>
      </c>
      <c r="H424" s="159" t="s">
        <v>69</v>
      </c>
      <c r="I424" s="85"/>
    </row>
    <row r="425" ht="13.5" customHeight="1">
      <c r="A425" s="90">
        <v>421.0</v>
      </c>
      <c r="B425" s="146">
        <v>45998.0</v>
      </c>
      <c r="C425" s="164">
        <v>58.0</v>
      </c>
      <c r="D425" s="164">
        <v>119.0</v>
      </c>
      <c r="E425" s="164" t="s">
        <v>308</v>
      </c>
      <c r="F425" s="164" t="s">
        <v>373</v>
      </c>
      <c r="G425" s="146">
        <v>45998.0</v>
      </c>
      <c r="H425" s="159" t="s">
        <v>69</v>
      </c>
      <c r="I425" s="85"/>
    </row>
    <row r="426" ht="13.5" customHeight="1">
      <c r="A426" s="90">
        <v>422.0</v>
      </c>
      <c r="B426" s="146">
        <v>45998.0</v>
      </c>
      <c r="C426" s="164">
        <v>58.0</v>
      </c>
      <c r="D426" s="164">
        <v>146.0</v>
      </c>
      <c r="E426" s="164" t="s">
        <v>337</v>
      </c>
      <c r="F426" s="164" t="s">
        <v>309</v>
      </c>
      <c r="G426" s="146">
        <v>45998.0</v>
      </c>
      <c r="H426" s="159" t="s">
        <v>69</v>
      </c>
      <c r="I426" s="85"/>
    </row>
    <row r="427" ht="13.5" customHeight="1">
      <c r="A427" s="90">
        <v>423.0</v>
      </c>
      <c r="B427" s="146">
        <v>45998.0</v>
      </c>
      <c r="C427" s="164">
        <v>62.0</v>
      </c>
      <c r="D427" s="164">
        <v>80.0</v>
      </c>
      <c r="E427" s="164" t="s">
        <v>323</v>
      </c>
      <c r="F427" s="164" t="s">
        <v>309</v>
      </c>
      <c r="G427" s="146">
        <v>45998.0</v>
      </c>
      <c r="H427" s="159" t="s">
        <v>69</v>
      </c>
      <c r="I427" s="85"/>
    </row>
    <row r="428" ht="13.5" customHeight="1">
      <c r="A428" s="90">
        <v>424.0</v>
      </c>
      <c r="B428" s="146">
        <v>45998.0</v>
      </c>
      <c r="C428" s="164">
        <v>69.0</v>
      </c>
      <c r="D428" s="164">
        <v>34.0</v>
      </c>
      <c r="E428" s="164" t="s">
        <v>323</v>
      </c>
      <c r="F428" s="164" t="s">
        <v>309</v>
      </c>
      <c r="G428" s="146">
        <v>45998.0</v>
      </c>
      <c r="H428" s="159" t="s">
        <v>69</v>
      </c>
      <c r="I428" s="85"/>
    </row>
    <row r="429" ht="13.5" customHeight="1">
      <c r="A429" s="90">
        <v>425.0</v>
      </c>
      <c r="B429" s="146">
        <v>45998.0</v>
      </c>
      <c r="C429" s="164">
        <v>80.0</v>
      </c>
      <c r="D429" s="164">
        <v>26.0</v>
      </c>
      <c r="E429" s="164" t="s">
        <v>323</v>
      </c>
      <c r="F429" s="164" t="s">
        <v>324</v>
      </c>
      <c r="G429" s="146">
        <v>45998.0</v>
      </c>
      <c r="H429" s="159" t="s">
        <v>69</v>
      </c>
      <c r="I429" s="85"/>
    </row>
    <row r="430" ht="13.5" customHeight="1">
      <c r="A430" s="90">
        <v>426.0</v>
      </c>
      <c r="B430" s="146">
        <v>45998.0</v>
      </c>
      <c r="C430" s="164">
        <v>91.0</v>
      </c>
      <c r="D430" s="164">
        <v>36.0</v>
      </c>
      <c r="E430" s="164" t="s">
        <v>337</v>
      </c>
      <c r="F430" s="164" t="s">
        <v>309</v>
      </c>
      <c r="G430" s="146">
        <v>45998.0</v>
      </c>
      <c r="H430" s="159" t="s">
        <v>69</v>
      </c>
      <c r="I430" s="85"/>
    </row>
    <row r="431" ht="13.5" customHeight="1">
      <c r="A431" s="90">
        <v>427.0</v>
      </c>
      <c r="B431" s="146">
        <v>45998.0</v>
      </c>
      <c r="C431" s="164">
        <v>98.0</v>
      </c>
      <c r="D431" s="164">
        <v>10.0</v>
      </c>
      <c r="E431" s="164" t="s">
        <v>337</v>
      </c>
      <c r="F431" s="164" t="s">
        <v>309</v>
      </c>
      <c r="G431" s="146">
        <v>45998.0</v>
      </c>
      <c r="H431" s="159" t="s">
        <v>69</v>
      </c>
      <c r="I431" s="85"/>
    </row>
    <row r="432" ht="13.5" customHeight="1">
      <c r="A432" s="90">
        <v>428.0</v>
      </c>
      <c r="B432" s="146">
        <v>45998.0</v>
      </c>
      <c r="C432" s="164">
        <v>112.0</v>
      </c>
      <c r="D432" s="164">
        <v>56.0</v>
      </c>
      <c r="E432" s="164" t="s">
        <v>313</v>
      </c>
      <c r="F432" s="164" t="s">
        <v>309</v>
      </c>
      <c r="G432" s="146">
        <v>45998.0</v>
      </c>
      <c r="H432" s="159" t="s">
        <v>69</v>
      </c>
      <c r="I432" s="85"/>
    </row>
    <row r="433" ht="13.5" customHeight="1">
      <c r="A433" s="90">
        <v>429.0</v>
      </c>
      <c r="B433" s="146">
        <v>45998.0</v>
      </c>
      <c r="C433" s="164">
        <v>112.0</v>
      </c>
      <c r="D433" s="164">
        <v>60.0</v>
      </c>
      <c r="E433" s="164" t="s">
        <v>313</v>
      </c>
      <c r="F433" s="164" t="s">
        <v>309</v>
      </c>
      <c r="G433" s="146">
        <v>45998.0</v>
      </c>
      <c r="H433" s="159" t="s">
        <v>69</v>
      </c>
      <c r="I433" s="85"/>
    </row>
    <row r="434" ht="13.5" customHeight="1">
      <c r="A434" s="90">
        <v>430.0</v>
      </c>
      <c r="B434" s="146">
        <v>45998.0</v>
      </c>
      <c r="C434" s="164">
        <v>112.0</v>
      </c>
      <c r="D434" s="164">
        <v>62.0</v>
      </c>
      <c r="E434" s="164" t="s">
        <v>313</v>
      </c>
      <c r="F434" s="164" t="s">
        <v>309</v>
      </c>
      <c r="G434" s="146">
        <v>45998.0</v>
      </c>
      <c r="H434" s="159" t="s">
        <v>69</v>
      </c>
      <c r="I434" s="85"/>
    </row>
    <row r="435" ht="13.5" customHeight="1">
      <c r="A435" s="90">
        <v>431.0</v>
      </c>
      <c r="B435" s="146">
        <v>45998.0</v>
      </c>
      <c r="C435" s="164">
        <v>112.0</v>
      </c>
      <c r="D435" s="164">
        <v>66.0</v>
      </c>
      <c r="E435" s="164" t="s">
        <v>313</v>
      </c>
      <c r="F435" s="164" t="s">
        <v>309</v>
      </c>
      <c r="G435" s="146">
        <v>45998.0</v>
      </c>
      <c r="H435" s="159" t="s">
        <v>69</v>
      </c>
      <c r="I435" s="85"/>
    </row>
    <row r="436" ht="13.5" customHeight="1">
      <c r="A436" s="90">
        <v>432.0</v>
      </c>
      <c r="B436" s="146">
        <v>45998.0</v>
      </c>
      <c r="C436" s="164">
        <v>112.0</v>
      </c>
      <c r="D436" s="164">
        <v>96.0</v>
      </c>
      <c r="E436" s="164" t="s">
        <v>322</v>
      </c>
      <c r="F436" s="164" t="s">
        <v>312</v>
      </c>
      <c r="G436" s="146">
        <v>45998.0</v>
      </c>
      <c r="H436" s="159" t="s">
        <v>69</v>
      </c>
      <c r="I436" s="85"/>
    </row>
    <row r="437" ht="13.5" customHeight="1">
      <c r="A437" s="90">
        <v>433.0</v>
      </c>
      <c r="B437" s="146">
        <v>45998.0</v>
      </c>
      <c r="C437" s="164">
        <v>114.0</v>
      </c>
      <c r="D437" s="164">
        <v>113.0</v>
      </c>
      <c r="E437" s="164" t="s">
        <v>337</v>
      </c>
      <c r="F437" s="164" t="s">
        <v>309</v>
      </c>
      <c r="G437" s="146">
        <v>45998.0</v>
      </c>
      <c r="H437" s="159" t="s">
        <v>69</v>
      </c>
      <c r="I437" s="85"/>
    </row>
    <row r="438" ht="13.5" customHeight="1">
      <c r="A438" s="90">
        <v>434.0</v>
      </c>
      <c r="B438" s="146">
        <v>45998.0</v>
      </c>
      <c r="C438" s="164">
        <v>130.0</v>
      </c>
      <c r="D438" s="164">
        <v>95.0</v>
      </c>
      <c r="E438" s="164" t="s">
        <v>337</v>
      </c>
      <c r="F438" s="164" t="s">
        <v>309</v>
      </c>
      <c r="G438" s="146">
        <v>45998.0</v>
      </c>
      <c r="H438" s="159" t="s">
        <v>69</v>
      </c>
      <c r="I438" s="85"/>
    </row>
    <row r="439" ht="13.5" customHeight="1">
      <c r="A439" s="90">
        <v>435.0</v>
      </c>
      <c r="B439" s="146">
        <v>45998.0</v>
      </c>
      <c r="C439" s="164">
        <v>131.0</v>
      </c>
      <c r="D439" s="164">
        <v>53.0</v>
      </c>
      <c r="E439" s="164" t="s">
        <v>323</v>
      </c>
      <c r="F439" s="164" t="s">
        <v>374</v>
      </c>
      <c r="G439" s="146">
        <v>45998.0</v>
      </c>
      <c r="H439" s="159" t="s">
        <v>69</v>
      </c>
      <c r="I439" s="85"/>
    </row>
    <row r="440" ht="13.5" customHeight="1">
      <c r="A440" s="90">
        <v>436.0</v>
      </c>
      <c r="B440" s="146">
        <v>45999.0</v>
      </c>
      <c r="C440" s="78">
        <v>33.0</v>
      </c>
      <c r="D440" s="78">
        <v>83.0</v>
      </c>
      <c r="E440" s="78" t="s">
        <v>335</v>
      </c>
      <c r="F440" s="78" t="s">
        <v>314</v>
      </c>
      <c r="G440" s="146">
        <v>46002.0</v>
      </c>
      <c r="H440" s="159" t="s">
        <v>69</v>
      </c>
      <c r="I440" s="78" t="s">
        <v>333</v>
      </c>
    </row>
    <row r="441" ht="13.5" customHeight="1">
      <c r="A441" s="90">
        <v>437.0</v>
      </c>
      <c r="B441" s="146">
        <v>45999.0</v>
      </c>
      <c r="C441" s="78">
        <v>48.0</v>
      </c>
      <c r="D441" s="78">
        <v>136.0</v>
      </c>
      <c r="E441" s="78" t="s">
        <v>335</v>
      </c>
      <c r="F441" s="78" t="s">
        <v>314</v>
      </c>
      <c r="G441" s="146">
        <v>46005.0</v>
      </c>
      <c r="H441" s="159" t="s">
        <v>69</v>
      </c>
      <c r="I441" s="78" t="s">
        <v>333</v>
      </c>
    </row>
    <row r="442" ht="13.5" customHeight="1">
      <c r="A442" s="90">
        <v>438.0</v>
      </c>
      <c r="B442" s="146">
        <v>45999.0</v>
      </c>
      <c r="C442" s="164">
        <v>1.0</v>
      </c>
      <c r="D442" s="164">
        <v>41.0</v>
      </c>
      <c r="E442" s="164" t="s">
        <v>337</v>
      </c>
      <c r="F442" s="164" t="s">
        <v>309</v>
      </c>
      <c r="G442" s="146">
        <v>45999.0</v>
      </c>
      <c r="H442" s="159" t="s">
        <v>69</v>
      </c>
      <c r="I442" s="85"/>
    </row>
    <row r="443" ht="13.5" customHeight="1">
      <c r="A443" s="90">
        <v>439.0</v>
      </c>
      <c r="B443" s="146">
        <v>45999.0</v>
      </c>
      <c r="C443" s="164">
        <v>2.0</v>
      </c>
      <c r="D443" s="164">
        <v>1.0</v>
      </c>
      <c r="E443" s="164" t="s">
        <v>313</v>
      </c>
      <c r="F443" s="164" t="s">
        <v>309</v>
      </c>
      <c r="G443" s="146">
        <v>45999.0</v>
      </c>
      <c r="H443" s="159" t="s">
        <v>69</v>
      </c>
      <c r="I443" s="85"/>
    </row>
    <row r="444" ht="13.5" customHeight="1">
      <c r="A444" s="90">
        <v>440.0</v>
      </c>
      <c r="B444" s="146">
        <v>45999.0</v>
      </c>
      <c r="C444" s="164">
        <v>4.0</v>
      </c>
      <c r="D444" s="164">
        <v>26.0</v>
      </c>
      <c r="E444" s="164" t="s">
        <v>337</v>
      </c>
      <c r="F444" s="164" t="s">
        <v>309</v>
      </c>
      <c r="G444" s="146">
        <v>45999.0</v>
      </c>
      <c r="H444" s="159" t="s">
        <v>69</v>
      </c>
      <c r="I444" s="85"/>
    </row>
    <row r="445" ht="13.5" customHeight="1">
      <c r="A445" s="90">
        <v>441.0</v>
      </c>
      <c r="B445" s="146">
        <v>45999.0</v>
      </c>
      <c r="C445" s="164">
        <v>4.0</v>
      </c>
      <c r="D445" s="164">
        <v>61.0</v>
      </c>
      <c r="E445" s="164" t="s">
        <v>335</v>
      </c>
      <c r="F445" s="164" t="s">
        <v>341</v>
      </c>
      <c r="G445" s="146">
        <v>45999.0</v>
      </c>
      <c r="H445" s="159" t="s">
        <v>69</v>
      </c>
      <c r="I445" s="85"/>
    </row>
    <row r="446" ht="13.5" customHeight="1">
      <c r="A446" s="90">
        <v>442.0</v>
      </c>
      <c r="B446" s="146">
        <v>45999.0</v>
      </c>
      <c r="C446" s="164">
        <v>9.0</v>
      </c>
      <c r="D446" s="164">
        <v>111.0</v>
      </c>
      <c r="E446" s="164" t="s">
        <v>322</v>
      </c>
      <c r="F446" s="164" t="s">
        <v>320</v>
      </c>
      <c r="G446" s="146">
        <v>45999.0</v>
      </c>
      <c r="H446" s="159" t="s">
        <v>69</v>
      </c>
      <c r="I446" s="85"/>
    </row>
    <row r="447" ht="13.5" customHeight="1">
      <c r="A447" s="90">
        <v>443.0</v>
      </c>
      <c r="B447" s="146">
        <v>45999.0</v>
      </c>
      <c r="C447" s="164">
        <v>18.0</v>
      </c>
      <c r="D447" s="164">
        <v>73.0</v>
      </c>
      <c r="E447" s="164" t="s">
        <v>322</v>
      </c>
      <c r="F447" s="164" t="s">
        <v>320</v>
      </c>
      <c r="G447" s="146">
        <v>45999.0</v>
      </c>
      <c r="H447" s="159" t="s">
        <v>69</v>
      </c>
      <c r="I447" s="85"/>
    </row>
    <row r="448" ht="13.5" customHeight="1">
      <c r="A448" s="90">
        <v>444.0</v>
      </c>
      <c r="B448" s="146">
        <v>45999.0</v>
      </c>
      <c r="C448" s="164">
        <v>23.0</v>
      </c>
      <c r="D448" s="164">
        <v>123.0</v>
      </c>
      <c r="E448" s="164" t="s">
        <v>337</v>
      </c>
      <c r="F448" s="164" t="s">
        <v>309</v>
      </c>
      <c r="G448" s="146">
        <v>45999.0</v>
      </c>
      <c r="H448" s="159" t="s">
        <v>69</v>
      </c>
      <c r="I448" s="85"/>
    </row>
    <row r="449" ht="13.5" customHeight="1">
      <c r="A449" s="90">
        <v>445.0</v>
      </c>
      <c r="B449" s="146">
        <v>45999.0</v>
      </c>
      <c r="C449" s="164">
        <v>28.0</v>
      </c>
      <c r="D449" s="164">
        <v>103.0</v>
      </c>
      <c r="E449" s="164" t="s">
        <v>337</v>
      </c>
      <c r="F449" s="164" t="s">
        <v>309</v>
      </c>
      <c r="G449" s="146">
        <v>45999.0</v>
      </c>
      <c r="H449" s="159" t="s">
        <v>69</v>
      </c>
      <c r="I449" s="85"/>
    </row>
    <row r="450" ht="13.5" customHeight="1">
      <c r="A450" s="90">
        <v>446.0</v>
      </c>
      <c r="B450" s="146">
        <v>45999.0</v>
      </c>
      <c r="C450" s="164">
        <v>29.0</v>
      </c>
      <c r="D450" s="164">
        <v>75.0</v>
      </c>
      <c r="E450" s="164" t="s">
        <v>335</v>
      </c>
      <c r="F450" s="164" t="s">
        <v>341</v>
      </c>
      <c r="G450" s="146">
        <v>45999.0</v>
      </c>
      <c r="H450" s="159" t="s">
        <v>69</v>
      </c>
      <c r="I450" s="85"/>
    </row>
    <row r="451" ht="13.5" customHeight="1">
      <c r="A451" s="90">
        <v>447.0</v>
      </c>
      <c r="B451" s="146">
        <v>45999.0</v>
      </c>
      <c r="C451" s="164">
        <v>29.0</v>
      </c>
      <c r="D451" s="164">
        <v>80.0</v>
      </c>
      <c r="E451" s="164" t="s">
        <v>322</v>
      </c>
      <c r="F451" s="164" t="s">
        <v>320</v>
      </c>
      <c r="G451" s="146">
        <v>45999.0</v>
      </c>
      <c r="H451" s="159" t="s">
        <v>69</v>
      </c>
      <c r="I451" s="85"/>
    </row>
    <row r="452" ht="13.5" customHeight="1">
      <c r="A452" s="90">
        <v>448.0</v>
      </c>
      <c r="B452" s="146">
        <v>45999.0</v>
      </c>
      <c r="C452" s="164">
        <v>56.0</v>
      </c>
      <c r="D452" s="164">
        <v>11.0</v>
      </c>
      <c r="E452" s="164" t="s">
        <v>337</v>
      </c>
      <c r="F452" s="164" t="s">
        <v>309</v>
      </c>
      <c r="G452" s="146">
        <v>45999.0</v>
      </c>
      <c r="H452" s="159" t="s">
        <v>69</v>
      </c>
      <c r="I452" s="85"/>
    </row>
    <row r="453" ht="13.5" customHeight="1">
      <c r="A453" s="90">
        <v>449.0</v>
      </c>
      <c r="B453" s="146">
        <v>45999.0</v>
      </c>
      <c r="C453" s="164">
        <v>56.0</v>
      </c>
      <c r="D453" s="164">
        <v>12.0</v>
      </c>
      <c r="E453" s="164" t="s">
        <v>337</v>
      </c>
      <c r="F453" s="164" t="s">
        <v>309</v>
      </c>
      <c r="G453" s="146">
        <v>45999.0</v>
      </c>
      <c r="H453" s="159" t="s">
        <v>69</v>
      </c>
      <c r="I453" s="85"/>
    </row>
    <row r="454" ht="13.5" customHeight="1">
      <c r="A454" s="90">
        <v>450.0</v>
      </c>
      <c r="B454" s="146">
        <v>45999.0</v>
      </c>
      <c r="C454" s="164">
        <v>56.0</v>
      </c>
      <c r="D454" s="164">
        <v>108.0</v>
      </c>
      <c r="E454" s="164" t="s">
        <v>337</v>
      </c>
      <c r="F454" s="164" t="s">
        <v>309</v>
      </c>
      <c r="G454" s="146">
        <v>45999.0</v>
      </c>
      <c r="H454" s="159" t="s">
        <v>69</v>
      </c>
      <c r="I454" s="85"/>
    </row>
    <row r="455" ht="13.5" customHeight="1">
      <c r="A455" s="90">
        <v>451.0</v>
      </c>
      <c r="B455" s="146">
        <v>45999.0</v>
      </c>
      <c r="C455" s="164">
        <v>58.0</v>
      </c>
      <c r="D455" s="164">
        <v>146.0</v>
      </c>
      <c r="E455" s="164" t="s">
        <v>337</v>
      </c>
      <c r="F455" s="164" t="s">
        <v>309</v>
      </c>
      <c r="G455" s="146">
        <v>45999.0</v>
      </c>
      <c r="H455" s="159" t="s">
        <v>69</v>
      </c>
      <c r="I455" s="85"/>
    </row>
    <row r="456" ht="13.5" customHeight="1">
      <c r="A456" s="90">
        <v>452.0</v>
      </c>
      <c r="B456" s="146">
        <v>45999.0</v>
      </c>
      <c r="C456" s="164">
        <v>64.0</v>
      </c>
      <c r="D456" s="164">
        <v>10.0</v>
      </c>
      <c r="E456" s="164" t="s">
        <v>337</v>
      </c>
      <c r="F456" s="164" t="s">
        <v>309</v>
      </c>
      <c r="G456" s="146">
        <v>45999.0</v>
      </c>
      <c r="H456" s="159" t="s">
        <v>69</v>
      </c>
      <c r="I456" s="85"/>
    </row>
    <row r="457" ht="13.5" customHeight="1">
      <c r="A457" s="90">
        <v>453.0</v>
      </c>
      <c r="B457" s="146">
        <v>45999.0</v>
      </c>
      <c r="C457" s="164">
        <v>69.0</v>
      </c>
      <c r="D457" s="164">
        <v>34.0</v>
      </c>
      <c r="E457" s="164" t="s">
        <v>323</v>
      </c>
      <c r="F457" s="164" t="s">
        <v>309</v>
      </c>
      <c r="G457" s="146">
        <v>45999.0</v>
      </c>
      <c r="H457" s="159" t="s">
        <v>69</v>
      </c>
      <c r="I457" s="85"/>
    </row>
    <row r="458" ht="13.5" customHeight="1">
      <c r="A458" s="90">
        <v>454.0</v>
      </c>
      <c r="B458" s="146">
        <v>45999.0</v>
      </c>
      <c r="C458" s="164">
        <v>79.0</v>
      </c>
      <c r="D458" s="164">
        <v>120.0</v>
      </c>
      <c r="E458" s="164" t="s">
        <v>323</v>
      </c>
      <c r="F458" s="164" t="s">
        <v>309</v>
      </c>
      <c r="G458" s="146">
        <v>45999.0</v>
      </c>
      <c r="H458" s="159" t="s">
        <v>69</v>
      </c>
      <c r="I458" s="85"/>
    </row>
    <row r="459" ht="13.5" customHeight="1">
      <c r="A459" s="90">
        <v>455.0</v>
      </c>
      <c r="B459" s="146">
        <v>45999.0</v>
      </c>
      <c r="C459" s="164">
        <v>98.0</v>
      </c>
      <c r="D459" s="164">
        <v>10.0</v>
      </c>
      <c r="E459" s="164" t="s">
        <v>337</v>
      </c>
      <c r="F459" s="164" t="s">
        <v>309</v>
      </c>
      <c r="G459" s="146">
        <v>45999.0</v>
      </c>
      <c r="H459" s="159" t="s">
        <v>69</v>
      </c>
      <c r="I459" s="85"/>
    </row>
    <row r="460" ht="13.5" customHeight="1">
      <c r="A460" s="90">
        <v>456.0</v>
      </c>
      <c r="B460" s="146">
        <v>45999.0</v>
      </c>
      <c r="C460" s="164">
        <v>122.0</v>
      </c>
      <c r="D460" s="164">
        <v>125.0</v>
      </c>
      <c r="E460" s="164" t="s">
        <v>322</v>
      </c>
      <c r="F460" s="164" t="s">
        <v>320</v>
      </c>
      <c r="G460" s="146">
        <v>45999.0</v>
      </c>
      <c r="H460" s="159" t="s">
        <v>69</v>
      </c>
      <c r="I460" s="85"/>
    </row>
    <row r="461" ht="13.5" customHeight="1">
      <c r="A461" s="90">
        <v>457.0</v>
      </c>
      <c r="B461" s="146">
        <v>45999.0</v>
      </c>
      <c r="C461" s="164">
        <v>130.0</v>
      </c>
      <c r="D461" s="164">
        <v>95.0</v>
      </c>
      <c r="E461" s="164" t="s">
        <v>337</v>
      </c>
      <c r="F461" s="164" t="s">
        <v>309</v>
      </c>
      <c r="G461" s="146">
        <v>45999.0</v>
      </c>
      <c r="H461" s="159" t="s">
        <v>69</v>
      </c>
      <c r="I461" s="85"/>
    </row>
    <row r="462" ht="13.5" customHeight="1">
      <c r="A462" s="90">
        <v>458.0</v>
      </c>
      <c r="B462" s="146">
        <v>46000.0</v>
      </c>
      <c r="C462" s="78">
        <v>56.0</v>
      </c>
      <c r="D462" s="78">
        <v>55.0</v>
      </c>
      <c r="E462" s="164" t="s">
        <v>310</v>
      </c>
      <c r="F462" s="164" t="s">
        <v>314</v>
      </c>
      <c r="G462" s="146">
        <v>46002.0</v>
      </c>
      <c r="H462" s="159" t="s">
        <v>69</v>
      </c>
      <c r="I462" s="78" t="s">
        <v>333</v>
      </c>
    </row>
    <row r="463" ht="13.5" customHeight="1">
      <c r="A463" s="90">
        <v>459.0</v>
      </c>
      <c r="B463" s="146">
        <v>46000.0</v>
      </c>
      <c r="C463" s="78">
        <v>58.0</v>
      </c>
      <c r="D463" s="78">
        <v>76.0</v>
      </c>
      <c r="E463" s="164" t="s">
        <v>310</v>
      </c>
      <c r="F463" s="164" t="s">
        <v>314</v>
      </c>
      <c r="G463" s="146">
        <v>46002.0</v>
      </c>
      <c r="H463" s="159" t="s">
        <v>69</v>
      </c>
      <c r="I463" s="78" t="s">
        <v>340</v>
      </c>
    </row>
    <row r="464" ht="13.5" customHeight="1">
      <c r="A464" s="90">
        <v>460.0</v>
      </c>
      <c r="B464" s="146">
        <v>46000.0</v>
      </c>
      <c r="C464" s="78">
        <v>71.0</v>
      </c>
      <c r="D464" s="78">
        <v>86.0</v>
      </c>
      <c r="E464" s="164" t="s">
        <v>310</v>
      </c>
      <c r="F464" s="164" t="s">
        <v>314</v>
      </c>
      <c r="G464" s="146">
        <v>46008.0</v>
      </c>
      <c r="H464" s="159" t="s">
        <v>69</v>
      </c>
      <c r="I464" s="78" t="s">
        <v>333</v>
      </c>
    </row>
    <row r="465" ht="13.5" customHeight="1">
      <c r="A465" s="90">
        <v>461.0</v>
      </c>
      <c r="B465" s="146">
        <v>46000.0</v>
      </c>
      <c r="C465" s="78">
        <v>121.0</v>
      </c>
      <c r="D465" s="78">
        <v>98.0</v>
      </c>
      <c r="E465" s="78" t="s">
        <v>322</v>
      </c>
      <c r="F465" s="78" t="s">
        <v>285</v>
      </c>
      <c r="G465" s="146">
        <v>46002.0</v>
      </c>
      <c r="H465" s="159" t="s">
        <v>69</v>
      </c>
      <c r="I465" s="78" t="s">
        <v>332</v>
      </c>
    </row>
    <row r="466" ht="13.5" customHeight="1">
      <c r="A466" s="90">
        <v>462.0</v>
      </c>
      <c r="B466" s="146">
        <v>46000.0</v>
      </c>
      <c r="C466" s="164">
        <v>4.0</v>
      </c>
      <c r="D466" s="164">
        <v>61.0</v>
      </c>
      <c r="E466" s="164" t="s">
        <v>335</v>
      </c>
      <c r="F466" s="164" t="s">
        <v>341</v>
      </c>
      <c r="G466" s="146">
        <v>46000.0</v>
      </c>
      <c r="H466" s="159" t="s">
        <v>69</v>
      </c>
      <c r="I466" s="85"/>
    </row>
    <row r="467" ht="13.5" customHeight="1">
      <c r="A467" s="90">
        <v>463.0</v>
      </c>
      <c r="B467" s="146">
        <v>46000.0</v>
      </c>
      <c r="C467" s="164">
        <v>18.0</v>
      </c>
      <c r="D467" s="164">
        <v>103.0</v>
      </c>
      <c r="E467" s="164" t="s">
        <v>323</v>
      </c>
      <c r="F467" s="164" t="s">
        <v>309</v>
      </c>
      <c r="G467" s="146">
        <v>46000.0</v>
      </c>
      <c r="H467" s="159" t="s">
        <v>69</v>
      </c>
      <c r="I467" s="85"/>
    </row>
    <row r="468" ht="13.5" customHeight="1">
      <c r="A468" s="90">
        <v>464.0</v>
      </c>
      <c r="B468" s="146">
        <v>46000.0</v>
      </c>
      <c r="C468" s="164">
        <v>23.0</v>
      </c>
      <c r="D468" s="164">
        <v>30.0</v>
      </c>
      <c r="E468" s="164" t="s">
        <v>323</v>
      </c>
      <c r="F468" s="164" t="s">
        <v>309</v>
      </c>
      <c r="G468" s="146">
        <v>46000.0</v>
      </c>
      <c r="H468" s="159" t="s">
        <v>69</v>
      </c>
      <c r="I468" s="85"/>
    </row>
    <row r="469" ht="13.5" customHeight="1">
      <c r="A469" s="90">
        <v>465.0</v>
      </c>
      <c r="B469" s="146">
        <v>46000.0</v>
      </c>
      <c r="C469" s="164">
        <v>23.0</v>
      </c>
      <c r="D469" s="164">
        <v>54.0</v>
      </c>
      <c r="E469" s="164" t="s">
        <v>323</v>
      </c>
      <c r="F469" s="164" t="s">
        <v>309</v>
      </c>
      <c r="G469" s="146">
        <v>46000.0</v>
      </c>
      <c r="H469" s="159" t="s">
        <v>69</v>
      </c>
      <c r="I469" s="85"/>
    </row>
    <row r="470" ht="13.5" customHeight="1">
      <c r="A470" s="90">
        <v>466.0</v>
      </c>
      <c r="B470" s="146">
        <v>46000.0</v>
      </c>
      <c r="C470" s="164">
        <v>23.0</v>
      </c>
      <c r="D470" s="164">
        <v>123.0</v>
      </c>
      <c r="E470" s="164" t="s">
        <v>337</v>
      </c>
      <c r="F470" s="164" t="s">
        <v>309</v>
      </c>
      <c r="G470" s="146">
        <v>46000.0</v>
      </c>
      <c r="H470" s="159" t="s">
        <v>69</v>
      </c>
      <c r="I470" s="85"/>
    </row>
    <row r="471" ht="13.5" customHeight="1">
      <c r="A471" s="90">
        <v>467.0</v>
      </c>
      <c r="B471" s="146">
        <v>46000.0</v>
      </c>
      <c r="C471" s="164">
        <v>28.0</v>
      </c>
      <c r="D471" s="164">
        <v>64.0</v>
      </c>
      <c r="E471" s="164" t="s">
        <v>323</v>
      </c>
      <c r="F471" s="164" t="s">
        <v>309</v>
      </c>
      <c r="G471" s="146">
        <v>46000.0</v>
      </c>
      <c r="H471" s="159" t="s">
        <v>69</v>
      </c>
      <c r="I471" s="85"/>
    </row>
    <row r="472" ht="13.5" customHeight="1">
      <c r="A472" s="90">
        <v>468.0</v>
      </c>
      <c r="B472" s="146">
        <v>46000.0</v>
      </c>
      <c r="C472" s="164">
        <v>56.0</v>
      </c>
      <c r="D472" s="164">
        <v>12.0</v>
      </c>
      <c r="E472" s="164" t="s">
        <v>337</v>
      </c>
      <c r="F472" s="164" t="s">
        <v>309</v>
      </c>
      <c r="G472" s="146">
        <v>46000.0</v>
      </c>
      <c r="H472" s="159" t="s">
        <v>69</v>
      </c>
      <c r="I472" s="85"/>
    </row>
    <row r="473" ht="13.5" customHeight="1">
      <c r="A473" s="90">
        <v>469.0</v>
      </c>
      <c r="B473" s="146">
        <v>46000.0</v>
      </c>
      <c r="C473" s="164">
        <v>56.0</v>
      </c>
      <c r="D473" s="164">
        <v>108.0</v>
      </c>
      <c r="E473" s="164" t="s">
        <v>337</v>
      </c>
      <c r="F473" s="164" t="s">
        <v>309</v>
      </c>
      <c r="G473" s="146">
        <v>46000.0</v>
      </c>
      <c r="H473" s="159" t="s">
        <v>69</v>
      </c>
      <c r="I473" s="85"/>
    </row>
    <row r="474" ht="13.5" customHeight="1">
      <c r="A474" s="90">
        <v>470.0</v>
      </c>
      <c r="B474" s="146">
        <v>46000.0</v>
      </c>
      <c r="C474" s="164">
        <v>79.0</v>
      </c>
      <c r="D474" s="164">
        <v>120.0</v>
      </c>
      <c r="E474" s="164" t="s">
        <v>323</v>
      </c>
      <c r="F474" s="164" t="s">
        <v>309</v>
      </c>
      <c r="G474" s="146">
        <v>46000.0</v>
      </c>
      <c r="H474" s="159" t="s">
        <v>69</v>
      </c>
      <c r="I474" s="85"/>
    </row>
    <row r="475" ht="13.5" customHeight="1">
      <c r="A475" s="90">
        <v>471.0</v>
      </c>
      <c r="B475" s="146">
        <v>46000.0</v>
      </c>
      <c r="C475" s="164">
        <v>80.0</v>
      </c>
      <c r="D475" s="164">
        <v>26.0</v>
      </c>
      <c r="E475" s="164" t="s">
        <v>323</v>
      </c>
      <c r="F475" s="164" t="s">
        <v>309</v>
      </c>
      <c r="G475" s="146">
        <v>46000.0</v>
      </c>
      <c r="H475" s="159" t="s">
        <v>69</v>
      </c>
      <c r="I475" s="85"/>
    </row>
    <row r="476" ht="13.5" customHeight="1">
      <c r="A476" s="90">
        <v>472.0</v>
      </c>
      <c r="B476" s="146">
        <v>46000.0</v>
      </c>
      <c r="C476" s="164">
        <v>83.0</v>
      </c>
      <c r="D476" s="164">
        <v>143.0</v>
      </c>
      <c r="E476" s="164" t="s">
        <v>310</v>
      </c>
      <c r="F476" s="164" t="s">
        <v>309</v>
      </c>
      <c r="G476" s="146">
        <v>46000.0</v>
      </c>
      <c r="H476" s="159" t="s">
        <v>69</v>
      </c>
      <c r="I476" s="85"/>
    </row>
    <row r="477" ht="13.5" customHeight="1">
      <c r="A477" s="90">
        <v>473.0</v>
      </c>
      <c r="B477" s="146">
        <v>46000.0</v>
      </c>
      <c r="C477" s="164">
        <v>99.0</v>
      </c>
      <c r="D477" s="164">
        <v>46.0</v>
      </c>
      <c r="E477" s="164" t="s">
        <v>313</v>
      </c>
      <c r="F477" s="164" t="s">
        <v>309</v>
      </c>
      <c r="G477" s="146">
        <v>46000.0</v>
      </c>
      <c r="H477" s="159" t="s">
        <v>69</v>
      </c>
      <c r="I477" s="85"/>
    </row>
    <row r="478" ht="13.5" customHeight="1">
      <c r="A478" s="90">
        <v>474.0</v>
      </c>
      <c r="B478" s="146">
        <v>46000.0</v>
      </c>
      <c r="C478" s="164">
        <v>99.0</v>
      </c>
      <c r="D478" s="164">
        <v>48.0</v>
      </c>
      <c r="E478" s="164" t="s">
        <v>313</v>
      </c>
      <c r="F478" s="164" t="s">
        <v>309</v>
      </c>
      <c r="G478" s="146">
        <v>46000.0</v>
      </c>
      <c r="H478" s="159" t="s">
        <v>69</v>
      </c>
      <c r="I478" s="85"/>
    </row>
    <row r="479" ht="13.5" customHeight="1">
      <c r="A479" s="90">
        <v>475.0</v>
      </c>
      <c r="B479" s="146">
        <v>46000.0</v>
      </c>
      <c r="C479" s="164">
        <v>99.0</v>
      </c>
      <c r="D479" s="164">
        <v>50.0</v>
      </c>
      <c r="E479" s="164" t="s">
        <v>313</v>
      </c>
      <c r="F479" s="164" t="s">
        <v>309</v>
      </c>
      <c r="G479" s="146">
        <v>46000.0</v>
      </c>
      <c r="H479" s="159" t="s">
        <v>69</v>
      </c>
      <c r="I479" s="85"/>
    </row>
    <row r="480" ht="13.5" customHeight="1">
      <c r="A480" s="90">
        <v>476.0</v>
      </c>
      <c r="B480" s="146">
        <v>46000.0</v>
      </c>
      <c r="C480" s="164">
        <v>99.0</v>
      </c>
      <c r="D480" s="164">
        <v>52.0</v>
      </c>
      <c r="E480" s="164" t="s">
        <v>313</v>
      </c>
      <c r="F480" s="164" t="s">
        <v>309</v>
      </c>
      <c r="G480" s="146">
        <v>46000.0</v>
      </c>
      <c r="H480" s="159" t="s">
        <v>69</v>
      </c>
      <c r="I480" s="85"/>
    </row>
    <row r="481" ht="13.5" customHeight="1">
      <c r="A481" s="90">
        <v>477.0</v>
      </c>
      <c r="B481" s="146">
        <v>46000.0</v>
      </c>
      <c r="C481" s="164">
        <v>99.0</v>
      </c>
      <c r="D481" s="164">
        <v>53.0</v>
      </c>
      <c r="E481" s="164" t="s">
        <v>313</v>
      </c>
      <c r="F481" s="164" t="s">
        <v>309</v>
      </c>
      <c r="G481" s="146">
        <v>46000.0</v>
      </c>
      <c r="H481" s="159" t="s">
        <v>69</v>
      </c>
      <c r="I481" s="85"/>
    </row>
    <row r="482" ht="13.5" customHeight="1">
      <c r="A482" s="90">
        <v>478.0</v>
      </c>
      <c r="B482" s="146">
        <v>46000.0</v>
      </c>
      <c r="C482" s="164">
        <v>99.0</v>
      </c>
      <c r="D482" s="164">
        <v>54.0</v>
      </c>
      <c r="E482" s="164" t="s">
        <v>313</v>
      </c>
      <c r="F482" s="164" t="s">
        <v>309</v>
      </c>
      <c r="G482" s="146">
        <v>46000.0</v>
      </c>
      <c r="H482" s="159" t="s">
        <v>69</v>
      </c>
      <c r="I482" s="85"/>
    </row>
    <row r="483" ht="13.5" customHeight="1">
      <c r="A483" s="90">
        <v>479.0</v>
      </c>
      <c r="B483" s="146">
        <v>46000.0</v>
      </c>
      <c r="C483" s="164">
        <v>99.0</v>
      </c>
      <c r="D483" s="164">
        <v>56.0</v>
      </c>
      <c r="E483" s="164" t="s">
        <v>313</v>
      </c>
      <c r="F483" s="164" t="s">
        <v>309</v>
      </c>
      <c r="G483" s="146">
        <v>46000.0</v>
      </c>
      <c r="H483" s="159" t="s">
        <v>69</v>
      </c>
      <c r="I483" s="85"/>
    </row>
    <row r="484" ht="13.5" customHeight="1">
      <c r="A484" s="90">
        <v>480.0</v>
      </c>
      <c r="B484" s="146">
        <v>46000.0</v>
      </c>
      <c r="C484" s="164">
        <v>99.0</v>
      </c>
      <c r="D484" s="164">
        <v>58.0</v>
      </c>
      <c r="E484" s="164" t="s">
        <v>313</v>
      </c>
      <c r="F484" s="164" t="s">
        <v>309</v>
      </c>
      <c r="G484" s="146">
        <v>46000.0</v>
      </c>
      <c r="H484" s="159" t="s">
        <v>69</v>
      </c>
      <c r="I484" s="85"/>
    </row>
    <row r="485" ht="13.5" customHeight="1">
      <c r="A485" s="90">
        <v>481.0</v>
      </c>
      <c r="B485" s="146">
        <v>46000.0</v>
      </c>
      <c r="C485" s="164">
        <v>99.0</v>
      </c>
      <c r="D485" s="164">
        <v>60.0</v>
      </c>
      <c r="E485" s="164" t="s">
        <v>313</v>
      </c>
      <c r="F485" s="164" t="s">
        <v>309</v>
      </c>
      <c r="G485" s="146">
        <v>46000.0</v>
      </c>
      <c r="H485" s="159" t="s">
        <v>69</v>
      </c>
      <c r="I485" s="85"/>
    </row>
    <row r="486" ht="13.5" customHeight="1">
      <c r="A486" s="90">
        <v>482.0</v>
      </c>
      <c r="B486" s="146">
        <v>46000.0</v>
      </c>
      <c r="C486" s="164">
        <v>99.0</v>
      </c>
      <c r="D486" s="164">
        <v>62.0</v>
      </c>
      <c r="E486" s="164" t="s">
        <v>313</v>
      </c>
      <c r="F486" s="164" t="s">
        <v>309</v>
      </c>
      <c r="G486" s="146">
        <v>46000.0</v>
      </c>
      <c r="H486" s="159" t="s">
        <v>69</v>
      </c>
      <c r="I486" s="85"/>
    </row>
    <row r="487" ht="13.5" customHeight="1">
      <c r="A487" s="90">
        <v>483.0</v>
      </c>
      <c r="B487" s="146">
        <v>46000.0</v>
      </c>
      <c r="C487" s="164">
        <v>99.0</v>
      </c>
      <c r="D487" s="164">
        <v>64.0</v>
      </c>
      <c r="E487" s="164" t="s">
        <v>313</v>
      </c>
      <c r="F487" s="164" t="s">
        <v>309</v>
      </c>
      <c r="G487" s="146">
        <v>46000.0</v>
      </c>
      <c r="H487" s="159" t="s">
        <v>69</v>
      </c>
      <c r="I487" s="85"/>
    </row>
    <row r="488" ht="13.5" customHeight="1">
      <c r="A488" s="90">
        <v>484.0</v>
      </c>
      <c r="B488" s="146">
        <v>46000.0</v>
      </c>
      <c r="C488" s="164">
        <v>99.0</v>
      </c>
      <c r="D488" s="164">
        <v>66.0</v>
      </c>
      <c r="E488" s="164" t="s">
        <v>313</v>
      </c>
      <c r="F488" s="164" t="s">
        <v>309</v>
      </c>
      <c r="G488" s="146">
        <v>46000.0</v>
      </c>
      <c r="H488" s="159" t="s">
        <v>69</v>
      </c>
      <c r="I488" s="85"/>
    </row>
    <row r="489" ht="13.5" customHeight="1">
      <c r="A489" s="90">
        <v>485.0</v>
      </c>
      <c r="B489" s="146">
        <v>46000.0</v>
      </c>
      <c r="C489" s="164">
        <v>99.0</v>
      </c>
      <c r="D489" s="164">
        <v>68.0</v>
      </c>
      <c r="E489" s="164" t="s">
        <v>313</v>
      </c>
      <c r="F489" s="164" t="s">
        <v>309</v>
      </c>
      <c r="G489" s="146">
        <v>46000.0</v>
      </c>
      <c r="H489" s="159" t="s">
        <v>69</v>
      </c>
      <c r="I489" s="85"/>
    </row>
    <row r="490" ht="13.5" customHeight="1">
      <c r="A490" s="90">
        <v>486.0</v>
      </c>
      <c r="B490" s="146">
        <v>46000.0</v>
      </c>
      <c r="C490" s="164">
        <v>99.0</v>
      </c>
      <c r="D490" s="164">
        <v>70.0</v>
      </c>
      <c r="E490" s="164" t="s">
        <v>313</v>
      </c>
      <c r="F490" s="164" t="s">
        <v>309</v>
      </c>
      <c r="G490" s="146">
        <v>46000.0</v>
      </c>
      <c r="H490" s="159" t="s">
        <v>69</v>
      </c>
      <c r="I490" s="85"/>
    </row>
    <row r="491" ht="13.5" customHeight="1">
      <c r="A491" s="90">
        <v>487.0</v>
      </c>
      <c r="B491" s="146">
        <v>46000.0</v>
      </c>
      <c r="C491" s="164">
        <v>106.0</v>
      </c>
      <c r="D491" s="164">
        <v>51.0</v>
      </c>
      <c r="E491" s="164" t="s">
        <v>323</v>
      </c>
      <c r="F491" s="164" t="s">
        <v>323</v>
      </c>
      <c r="G491" s="146">
        <v>46000.0</v>
      </c>
      <c r="H491" s="159" t="s">
        <v>69</v>
      </c>
      <c r="I491" s="85"/>
    </row>
    <row r="492" ht="13.5" customHeight="1">
      <c r="A492" s="90">
        <v>488.0</v>
      </c>
      <c r="B492" s="146">
        <v>46000.0</v>
      </c>
      <c r="C492" s="164">
        <v>121.0</v>
      </c>
      <c r="D492" s="164">
        <v>48.0</v>
      </c>
      <c r="E492" s="164" t="s">
        <v>310</v>
      </c>
      <c r="F492" s="164" t="s">
        <v>309</v>
      </c>
      <c r="G492" s="146">
        <v>46000.0</v>
      </c>
      <c r="H492" s="159" t="s">
        <v>69</v>
      </c>
      <c r="I492" s="85"/>
    </row>
    <row r="493" ht="13.5" customHeight="1">
      <c r="A493" s="90">
        <v>489.0</v>
      </c>
      <c r="B493" s="146">
        <v>46001.0</v>
      </c>
      <c r="C493" s="164">
        <v>4.0</v>
      </c>
      <c r="D493" s="164">
        <v>61.0</v>
      </c>
      <c r="E493" s="164" t="s">
        <v>335</v>
      </c>
      <c r="F493" s="164" t="s">
        <v>309</v>
      </c>
      <c r="G493" s="146">
        <v>46001.0</v>
      </c>
      <c r="H493" s="159" t="s">
        <v>69</v>
      </c>
      <c r="I493" s="85"/>
    </row>
    <row r="494" ht="13.5" customHeight="1">
      <c r="A494" s="90">
        <v>490.0</v>
      </c>
      <c r="B494" s="146">
        <v>46001.0</v>
      </c>
      <c r="C494" s="164">
        <v>22.0</v>
      </c>
      <c r="D494" s="164">
        <v>107.0</v>
      </c>
      <c r="E494" s="164" t="s">
        <v>323</v>
      </c>
      <c r="F494" s="164" t="s">
        <v>309</v>
      </c>
      <c r="G494" s="146">
        <v>46001.0</v>
      </c>
      <c r="H494" s="159" t="s">
        <v>69</v>
      </c>
      <c r="I494" s="85"/>
    </row>
    <row r="495" ht="13.5" customHeight="1">
      <c r="A495" s="90">
        <v>491.0</v>
      </c>
      <c r="B495" s="146">
        <v>46001.0</v>
      </c>
      <c r="C495" s="164">
        <v>23.0</v>
      </c>
      <c r="D495" s="164">
        <v>123.0</v>
      </c>
      <c r="E495" s="164" t="s">
        <v>337</v>
      </c>
      <c r="F495" s="164" t="s">
        <v>309</v>
      </c>
      <c r="G495" s="146">
        <v>46001.0</v>
      </c>
      <c r="H495" s="159" t="s">
        <v>69</v>
      </c>
      <c r="I495" s="85"/>
    </row>
    <row r="496" ht="13.5" customHeight="1">
      <c r="A496" s="90">
        <v>492.0</v>
      </c>
      <c r="B496" s="146">
        <v>46001.0</v>
      </c>
      <c r="C496" s="164">
        <v>26.0</v>
      </c>
      <c r="D496" s="164">
        <v>93.0</v>
      </c>
      <c r="E496" s="164" t="s">
        <v>323</v>
      </c>
      <c r="F496" s="164" t="s">
        <v>309</v>
      </c>
      <c r="G496" s="146">
        <v>46001.0</v>
      </c>
      <c r="H496" s="159" t="s">
        <v>69</v>
      </c>
      <c r="I496" s="85"/>
    </row>
    <row r="497" ht="13.5" customHeight="1">
      <c r="A497" s="90">
        <v>493.0</v>
      </c>
      <c r="B497" s="146">
        <v>46001.0</v>
      </c>
      <c r="C497" s="164">
        <v>26.0</v>
      </c>
      <c r="D497" s="164">
        <v>94.0</v>
      </c>
      <c r="E497" s="164" t="s">
        <v>337</v>
      </c>
      <c r="F497" s="164" t="s">
        <v>309</v>
      </c>
      <c r="G497" s="146">
        <v>46001.0</v>
      </c>
      <c r="H497" s="159" t="s">
        <v>69</v>
      </c>
      <c r="I497" s="85"/>
    </row>
    <row r="498" ht="13.5" customHeight="1">
      <c r="A498" s="90">
        <v>494.0</v>
      </c>
      <c r="B498" s="146">
        <v>46001.0</v>
      </c>
      <c r="C498" s="164">
        <v>28.0</v>
      </c>
      <c r="D498" s="164">
        <v>64.0</v>
      </c>
      <c r="E498" s="164" t="s">
        <v>323</v>
      </c>
      <c r="F498" s="164" t="s">
        <v>309</v>
      </c>
      <c r="G498" s="146">
        <v>46001.0</v>
      </c>
      <c r="H498" s="159" t="s">
        <v>69</v>
      </c>
      <c r="I498" s="85"/>
    </row>
    <row r="499" ht="13.5" customHeight="1">
      <c r="A499" s="90">
        <v>495.0</v>
      </c>
      <c r="B499" s="146">
        <v>46001.0</v>
      </c>
      <c r="C499" s="164">
        <v>29.0</v>
      </c>
      <c r="D499" s="164">
        <v>33.0</v>
      </c>
      <c r="E499" s="164" t="s">
        <v>310</v>
      </c>
      <c r="F499" s="164" t="s">
        <v>309</v>
      </c>
      <c r="G499" s="146">
        <v>46001.0</v>
      </c>
      <c r="H499" s="159" t="s">
        <v>69</v>
      </c>
      <c r="I499" s="85"/>
    </row>
    <row r="500" ht="13.5" customHeight="1">
      <c r="A500" s="90">
        <v>496.0</v>
      </c>
      <c r="B500" s="146">
        <v>46001.0</v>
      </c>
      <c r="C500" s="164">
        <v>35.0</v>
      </c>
      <c r="D500" s="164">
        <v>63.0</v>
      </c>
      <c r="E500" s="164" t="s">
        <v>370</v>
      </c>
      <c r="F500" s="164" t="s">
        <v>309</v>
      </c>
      <c r="G500" s="146">
        <v>46001.0</v>
      </c>
      <c r="H500" s="159" t="s">
        <v>69</v>
      </c>
      <c r="I500" s="85"/>
    </row>
    <row r="501" ht="13.5" customHeight="1">
      <c r="A501" s="90">
        <v>497.0</v>
      </c>
      <c r="B501" s="146">
        <v>46001.0</v>
      </c>
      <c r="C501" s="164">
        <v>35.0</v>
      </c>
      <c r="D501" s="164">
        <v>64.0</v>
      </c>
      <c r="E501" s="164" t="s">
        <v>370</v>
      </c>
      <c r="F501" s="164" t="s">
        <v>309</v>
      </c>
      <c r="G501" s="146">
        <v>46001.0</v>
      </c>
      <c r="H501" s="159" t="s">
        <v>69</v>
      </c>
      <c r="I501" s="85"/>
    </row>
    <row r="502" ht="13.5" customHeight="1">
      <c r="A502" s="90">
        <v>498.0</v>
      </c>
      <c r="B502" s="146">
        <v>46001.0</v>
      </c>
      <c r="C502" s="164">
        <v>37.0</v>
      </c>
      <c r="D502" s="164">
        <v>124.0</v>
      </c>
      <c r="E502" s="164" t="s">
        <v>335</v>
      </c>
      <c r="F502" s="164" t="s">
        <v>309</v>
      </c>
      <c r="G502" s="146">
        <v>46001.0</v>
      </c>
      <c r="H502" s="159" t="s">
        <v>69</v>
      </c>
      <c r="I502" s="85"/>
    </row>
    <row r="503" ht="13.5" customHeight="1">
      <c r="A503" s="90">
        <v>499.0</v>
      </c>
      <c r="B503" s="146">
        <v>46001.0</v>
      </c>
      <c r="C503" s="164">
        <v>56.0</v>
      </c>
      <c r="D503" s="164">
        <v>12.0</v>
      </c>
      <c r="E503" s="164" t="s">
        <v>337</v>
      </c>
      <c r="F503" s="164" t="s">
        <v>309</v>
      </c>
      <c r="G503" s="146">
        <v>46001.0</v>
      </c>
      <c r="H503" s="159" t="s">
        <v>69</v>
      </c>
      <c r="I503" s="85"/>
    </row>
    <row r="504" ht="13.5" customHeight="1">
      <c r="A504" s="90">
        <v>500.0</v>
      </c>
      <c r="B504" s="146">
        <v>46001.0</v>
      </c>
      <c r="C504" s="164">
        <v>79.0</v>
      </c>
      <c r="D504" s="164">
        <v>63.0</v>
      </c>
      <c r="E504" s="164" t="s">
        <v>310</v>
      </c>
      <c r="F504" s="164" t="s">
        <v>309</v>
      </c>
      <c r="G504" s="146">
        <v>46001.0</v>
      </c>
      <c r="H504" s="159" t="s">
        <v>69</v>
      </c>
      <c r="I504" s="85"/>
    </row>
    <row r="505" ht="13.5" customHeight="1">
      <c r="A505" s="90">
        <v>501.0</v>
      </c>
      <c r="B505" s="146">
        <v>46001.0</v>
      </c>
      <c r="C505" s="164">
        <v>79.0</v>
      </c>
      <c r="D505" s="164">
        <v>120.0</v>
      </c>
      <c r="E505" s="164" t="s">
        <v>323</v>
      </c>
      <c r="F505" s="164" t="s">
        <v>309</v>
      </c>
      <c r="G505" s="146">
        <v>46001.0</v>
      </c>
      <c r="H505" s="159" t="s">
        <v>69</v>
      </c>
      <c r="I505" s="85"/>
    </row>
    <row r="506" ht="13.5" customHeight="1">
      <c r="A506" s="90">
        <v>502.0</v>
      </c>
      <c r="B506" s="146">
        <v>46001.0</v>
      </c>
      <c r="C506" s="164">
        <v>80.0</v>
      </c>
      <c r="D506" s="164">
        <v>46.0</v>
      </c>
      <c r="E506" s="164" t="s">
        <v>337</v>
      </c>
      <c r="F506" s="164" t="s">
        <v>309</v>
      </c>
      <c r="G506" s="146">
        <v>46001.0</v>
      </c>
      <c r="H506" s="159" t="s">
        <v>69</v>
      </c>
      <c r="I506" s="85"/>
    </row>
    <row r="507" ht="13.5" customHeight="1">
      <c r="A507" s="90">
        <v>503.0</v>
      </c>
      <c r="B507" s="146">
        <v>46001.0</v>
      </c>
      <c r="C507" s="164">
        <v>80.0</v>
      </c>
      <c r="D507" s="164">
        <v>95.0</v>
      </c>
      <c r="E507" s="164" t="s">
        <v>336</v>
      </c>
      <c r="F507" s="164" t="s">
        <v>309</v>
      </c>
      <c r="G507" s="146">
        <v>46001.0</v>
      </c>
      <c r="H507" s="159" t="s">
        <v>69</v>
      </c>
      <c r="I507" s="85"/>
    </row>
    <row r="508" ht="13.5" customHeight="1">
      <c r="A508" s="90">
        <v>504.0</v>
      </c>
      <c r="B508" s="146">
        <v>46001.0</v>
      </c>
      <c r="C508" s="164">
        <v>101.0</v>
      </c>
      <c r="D508" s="164">
        <v>63.0</v>
      </c>
      <c r="E508" s="164" t="s">
        <v>337</v>
      </c>
      <c r="F508" s="164" t="s">
        <v>309</v>
      </c>
      <c r="G508" s="146">
        <v>46001.0</v>
      </c>
      <c r="H508" s="159" t="s">
        <v>69</v>
      </c>
      <c r="I508" s="85"/>
    </row>
    <row r="509" ht="13.5" customHeight="1">
      <c r="A509" s="90">
        <v>505.0</v>
      </c>
      <c r="B509" s="146">
        <v>46001.0</v>
      </c>
      <c r="C509" s="164">
        <v>102.0</v>
      </c>
      <c r="D509" s="164">
        <v>129.0</v>
      </c>
      <c r="E509" s="164" t="s">
        <v>337</v>
      </c>
      <c r="F509" s="164" t="s">
        <v>309</v>
      </c>
      <c r="G509" s="146">
        <v>46001.0</v>
      </c>
      <c r="H509" s="159" t="s">
        <v>69</v>
      </c>
      <c r="I509" s="85"/>
    </row>
    <row r="510" ht="13.5" customHeight="1">
      <c r="A510" s="90">
        <v>506.0</v>
      </c>
      <c r="B510" s="146">
        <v>46001.0</v>
      </c>
      <c r="C510" s="164">
        <v>112.0</v>
      </c>
      <c r="D510" s="164">
        <v>62.0</v>
      </c>
      <c r="E510" s="164" t="s">
        <v>323</v>
      </c>
      <c r="F510" s="164" t="s">
        <v>309</v>
      </c>
      <c r="G510" s="146">
        <v>46001.0</v>
      </c>
      <c r="H510" s="159" t="s">
        <v>69</v>
      </c>
      <c r="I510" s="85"/>
    </row>
    <row r="511" ht="13.5" customHeight="1">
      <c r="A511" s="90">
        <v>507.0</v>
      </c>
      <c r="B511" s="146">
        <v>46001.0</v>
      </c>
      <c r="C511" s="164">
        <v>114.0</v>
      </c>
      <c r="D511" s="164">
        <v>113.0</v>
      </c>
      <c r="E511" s="164" t="s">
        <v>337</v>
      </c>
      <c r="F511" s="164" t="s">
        <v>309</v>
      </c>
      <c r="G511" s="146">
        <v>46001.0</v>
      </c>
      <c r="H511" s="159" t="s">
        <v>69</v>
      </c>
      <c r="I511" s="85"/>
    </row>
    <row r="512" ht="13.5" customHeight="1">
      <c r="A512" s="90">
        <v>508.0</v>
      </c>
      <c r="B512" s="146">
        <v>46001.0</v>
      </c>
      <c r="C512" s="164">
        <v>115.0</v>
      </c>
      <c r="D512" s="164">
        <v>116.0</v>
      </c>
      <c r="E512" s="164" t="s">
        <v>337</v>
      </c>
      <c r="F512" s="164" t="s">
        <v>309</v>
      </c>
      <c r="G512" s="146">
        <v>46001.0</v>
      </c>
      <c r="H512" s="159" t="s">
        <v>69</v>
      </c>
      <c r="I512" s="85"/>
    </row>
    <row r="513" ht="13.5" customHeight="1">
      <c r="A513" s="90">
        <v>509.0</v>
      </c>
      <c r="B513" s="146">
        <v>46001.0</v>
      </c>
      <c r="C513" s="164">
        <v>121.0</v>
      </c>
      <c r="D513" s="164">
        <v>48.0</v>
      </c>
      <c r="E513" s="164" t="s">
        <v>310</v>
      </c>
      <c r="F513" s="164" t="s">
        <v>309</v>
      </c>
      <c r="G513" s="146">
        <v>46001.0</v>
      </c>
      <c r="H513" s="159" t="s">
        <v>69</v>
      </c>
      <c r="I513" s="85"/>
    </row>
    <row r="514" ht="13.5" customHeight="1">
      <c r="A514" s="90">
        <v>510.0</v>
      </c>
      <c r="B514" s="146">
        <v>46001.0</v>
      </c>
      <c r="C514" s="164">
        <v>125.0</v>
      </c>
      <c r="D514" s="164">
        <v>130.0</v>
      </c>
      <c r="E514" s="164" t="s">
        <v>337</v>
      </c>
      <c r="F514" s="164" t="s">
        <v>309</v>
      </c>
      <c r="G514" s="146">
        <v>46001.0</v>
      </c>
      <c r="H514" s="159" t="s">
        <v>69</v>
      </c>
      <c r="I514" s="85"/>
    </row>
    <row r="515" ht="13.5" customHeight="1">
      <c r="A515" s="90">
        <v>511.0</v>
      </c>
      <c r="B515" s="146">
        <v>46001.0</v>
      </c>
      <c r="C515" s="164">
        <v>125.0</v>
      </c>
      <c r="D515" s="164">
        <v>132.0</v>
      </c>
      <c r="E515" s="164" t="s">
        <v>337</v>
      </c>
      <c r="F515" s="164" t="s">
        <v>309</v>
      </c>
      <c r="G515" s="146">
        <v>46001.0</v>
      </c>
      <c r="H515" s="159" t="s">
        <v>69</v>
      </c>
      <c r="I515" s="85"/>
    </row>
    <row r="516" ht="13.5" customHeight="1">
      <c r="A516" s="90">
        <v>512.0</v>
      </c>
      <c r="B516" s="146">
        <v>46001.0</v>
      </c>
      <c r="C516" s="164">
        <v>126.0</v>
      </c>
      <c r="D516" s="164">
        <v>39.0</v>
      </c>
      <c r="E516" s="164" t="s">
        <v>323</v>
      </c>
      <c r="F516" s="164" t="s">
        <v>309</v>
      </c>
      <c r="G516" s="146">
        <v>46001.0</v>
      </c>
      <c r="H516" s="159" t="s">
        <v>69</v>
      </c>
      <c r="I516" s="85"/>
    </row>
    <row r="517" ht="13.5" customHeight="1">
      <c r="A517" s="90">
        <v>513.0</v>
      </c>
      <c r="B517" s="146">
        <v>46001.0</v>
      </c>
      <c r="C517" s="164">
        <v>126.0</v>
      </c>
      <c r="D517" s="164">
        <v>40.0</v>
      </c>
      <c r="E517" s="164" t="s">
        <v>337</v>
      </c>
      <c r="F517" s="164" t="s">
        <v>309</v>
      </c>
      <c r="G517" s="146">
        <v>46001.0</v>
      </c>
      <c r="H517" s="159" t="s">
        <v>69</v>
      </c>
      <c r="I517" s="85"/>
    </row>
    <row r="518" ht="13.5" customHeight="1">
      <c r="A518" s="90">
        <v>514.0</v>
      </c>
      <c r="B518" s="146">
        <v>46001.0</v>
      </c>
      <c r="C518" s="164">
        <v>130.0</v>
      </c>
      <c r="D518" s="164">
        <v>98.0</v>
      </c>
      <c r="E518" s="164" t="s">
        <v>322</v>
      </c>
      <c r="F518" s="164" t="s">
        <v>309</v>
      </c>
      <c r="G518" s="146">
        <v>46001.0</v>
      </c>
      <c r="H518" s="159" t="s">
        <v>69</v>
      </c>
      <c r="I518" s="85"/>
    </row>
    <row r="519" ht="13.5" customHeight="1">
      <c r="A519" s="90">
        <v>515.0</v>
      </c>
      <c r="B519" s="146">
        <v>46002.0</v>
      </c>
      <c r="C519" s="78">
        <v>126.0</v>
      </c>
      <c r="D519" s="78">
        <v>39.0</v>
      </c>
      <c r="E519" s="78" t="s">
        <v>323</v>
      </c>
      <c r="F519" s="164" t="s">
        <v>328</v>
      </c>
      <c r="G519" s="146">
        <v>46005.0</v>
      </c>
      <c r="H519" s="159" t="s">
        <v>69</v>
      </c>
      <c r="I519" s="78" t="s">
        <v>327</v>
      </c>
    </row>
    <row r="520" ht="13.5" customHeight="1">
      <c r="A520" s="90">
        <v>516.0</v>
      </c>
      <c r="B520" s="146">
        <v>46002.0</v>
      </c>
      <c r="C520" s="164">
        <v>5.0</v>
      </c>
      <c r="D520" s="164">
        <v>5.0</v>
      </c>
      <c r="E520" s="164" t="s">
        <v>323</v>
      </c>
      <c r="F520" s="164" t="s">
        <v>309</v>
      </c>
      <c r="G520" s="146">
        <v>46002.0</v>
      </c>
      <c r="H520" s="159" t="s">
        <v>69</v>
      </c>
      <c r="I520" s="85"/>
    </row>
    <row r="521" ht="13.5" customHeight="1">
      <c r="A521" s="90">
        <v>517.0</v>
      </c>
      <c r="B521" s="146">
        <v>46002.0</v>
      </c>
      <c r="C521" s="164">
        <v>17.0</v>
      </c>
      <c r="D521" s="164">
        <v>60.0</v>
      </c>
      <c r="E521" s="164" t="s">
        <v>310</v>
      </c>
      <c r="F521" s="164" t="s">
        <v>309</v>
      </c>
      <c r="G521" s="146">
        <v>46002.0</v>
      </c>
      <c r="H521" s="159" t="s">
        <v>69</v>
      </c>
      <c r="I521" s="85"/>
    </row>
    <row r="522" ht="13.5" customHeight="1">
      <c r="A522" s="90">
        <v>518.0</v>
      </c>
      <c r="B522" s="146">
        <v>46002.0</v>
      </c>
      <c r="C522" s="164">
        <v>19.0</v>
      </c>
      <c r="D522" s="164">
        <v>20.0</v>
      </c>
      <c r="E522" s="164" t="s">
        <v>313</v>
      </c>
      <c r="F522" s="164" t="s">
        <v>309</v>
      </c>
      <c r="G522" s="146">
        <v>46002.0</v>
      </c>
      <c r="H522" s="159" t="s">
        <v>69</v>
      </c>
      <c r="I522" s="85"/>
    </row>
    <row r="523" ht="13.5" customHeight="1">
      <c r="A523" s="90">
        <v>519.0</v>
      </c>
      <c r="B523" s="146">
        <v>46002.0</v>
      </c>
      <c r="C523" s="164">
        <v>26.0</v>
      </c>
      <c r="D523" s="164">
        <v>93.0</v>
      </c>
      <c r="E523" s="164" t="s">
        <v>323</v>
      </c>
      <c r="F523" s="164" t="s">
        <v>309</v>
      </c>
      <c r="G523" s="146">
        <v>46002.0</v>
      </c>
      <c r="H523" s="159" t="s">
        <v>69</v>
      </c>
      <c r="I523" s="85"/>
    </row>
    <row r="524" ht="13.5" customHeight="1">
      <c r="A524" s="90">
        <v>520.0</v>
      </c>
      <c r="B524" s="146">
        <v>46002.0</v>
      </c>
      <c r="C524" s="164">
        <v>26.0</v>
      </c>
      <c r="D524" s="164">
        <v>94.0</v>
      </c>
      <c r="E524" s="164" t="s">
        <v>337</v>
      </c>
      <c r="F524" s="164" t="s">
        <v>309</v>
      </c>
      <c r="G524" s="146">
        <v>46002.0</v>
      </c>
      <c r="H524" s="159" t="s">
        <v>69</v>
      </c>
      <c r="I524" s="85"/>
    </row>
    <row r="525" ht="13.5" customHeight="1">
      <c r="A525" s="90">
        <v>521.0</v>
      </c>
      <c r="B525" s="146">
        <v>46002.0</v>
      </c>
      <c r="C525" s="164">
        <v>28.0</v>
      </c>
      <c r="D525" s="164">
        <v>64.0</v>
      </c>
      <c r="E525" s="164" t="s">
        <v>323</v>
      </c>
      <c r="F525" s="164" t="s">
        <v>309</v>
      </c>
      <c r="G525" s="146">
        <v>46002.0</v>
      </c>
      <c r="H525" s="159" t="s">
        <v>69</v>
      </c>
      <c r="I525" s="85"/>
    </row>
    <row r="526" ht="13.5" customHeight="1">
      <c r="A526" s="90">
        <v>522.0</v>
      </c>
      <c r="B526" s="146">
        <v>46002.0</v>
      </c>
      <c r="C526" s="164">
        <v>29.0</v>
      </c>
      <c r="D526" s="164">
        <v>33.0</v>
      </c>
      <c r="E526" s="164" t="s">
        <v>310</v>
      </c>
      <c r="F526" s="164" t="s">
        <v>309</v>
      </c>
      <c r="G526" s="146">
        <v>46002.0</v>
      </c>
      <c r="H526" s="159" t="s">
        <v>69</v>
      </c>
      <c r="I526" s="85"/>
    </row>
    <row r="527" ht="13.5" customHeight="1">
      <c r="A527" s="90">
        <v>523.0</v>
      </c>
      <c r="B527" s="146">
        <v>46002.0</v>
      </c>
      <c r="C527" s="164">
        <v>35.0</v>
      </c>
      <c r="D527" s="164">
        <v>63.0</v>
      </c>
      <c r="E527" s="164" t="s">
        <v>323</v>
      </c>
      <c r="F527" s="164" t="s">
        <v>309</v>
      </c>
      <c r="G527" s="146">
        <v>46002.0</v>
      </c>
      <c r="H527" s="159" t="s">
        <v>69</v>
      </c>
      <c r="I527" s="85"/>
    </row>
    <row r="528" ht="13.5" customHeight="1">
      <c r="A528" s="90">
        <v>524.0</v>
      </c>
      <c r="B528" s="146">
        <v>46002.0</v>
      </c>
      <c r="C528" s="164">
        <v>35.0</v>
      </c>
      <c r="D528" s="164">
        <v>64.0</v>
      </c>
      <c r="E528" s="164" t="s">
        <v>323</v>
      </c>
      <c r="F528" s="164" t="s">
        <v>309</v>
      </c>
      <c r="G528" s="146">
        <v>46002.0</v>
      </c>
      <c r="H528" s="159" t="s">
        <v>69</v>
      </c>
      <c r="I528" s="85"/>
    </row>
    <row r="529" ht="13.5" customHeight="1">
      <c r="A529" s="90">
        <v>525.0</v>
      </c>
      <c r="B529" s="146">
        <v>46002.0</v>
      </c>
      <c r="C529" s="164">
        <v>56.0</v>
      </c>
      <c r="D529" s="164">
        <v>12.0</v>
      </c>
      <c r="E529" s="164" t="s">
        <v>337</v>
      </c>
      <c r="F529" s="164" t="s">
        <v>309</v>
      </c>
      <c r="G529" s="146">
        <v>46002.0</v>
      </c>
      <c r="H529" s="159" t="s">
        <v>69</v>
      </c>
      <c r="I529" s="85"/>
    </row>
    <row r="530" ht="13.5" customHeight="1">
      <c r="A530" s="90">
        <v>526.0</v>
      </c>
      <c r="B530" s="146">
        <v>46002.0</v>
      </c>
      <c r="C530" s="164">
        <v>61.0</v>
      </c>
      <c r="D530" s="164">
        <v>63.0</v>
      </c>
      <c r="E530" s="164" t="s">
        <v>337</v>
      </c>
      <c r="F530" s="164" t="s">
        <v>309</v>
      </c>
      <c r="G530" s="146">
        <v>46002.0</v>
      </c>
      <c r="H530" s="159" t="s">
        <v>69</v>
      </c>
      <c r="I530" s="85"/>
    </row>
    <row r="531" ht="13.5" customHeight="1">
      <c r="A531" s="90">
        <v>527.0</v>
      </c>
      <c r="B531" s="146">
        <v>46002.0</v>
      </c>
      <c r="C531" s="164">
        <v>63.0</v>
      </c>
      <c r="D531" s="164">
        <v>135.0</v>
      </c>
      <c r="E531" s="164" t="s">
        <v>323</v>
      </c>
      <c r="F531" s="164" t="s">
        <v>309</v>
      </c>
      <c r="G531" s="146">
        <v>46002.0</v>
      </c>
      <c r="H531" s="159" t="s">
        <v>69</v>
      </c>
      <c r="I531" s="85"/>
    </row>
    <row r="532" ht="13.5" customHeight="1">
      <c r="A532" s="90">
        <v>528.0</v>
      </c>
      <c r="B532" s="146">
        <v>46002.0</v>
      </c>
      <c r="C532" s="164">
        <v>79.0</v>
      </c>
      <c r="D532" s="164">
        <v>63.0</v>
      </c>
      <c r="E532" s="164" t="s">
        <v>310</v>
      </c>
      <c r="F532" s="164" t="s">
        <v>309</v>
      </c>
      <c r="G532" s="146">
        <v>46002.0</v>
      </c>
      <c r="H532" s="159" t="s">
        <v>69</v>
      </c>
      <c r="I532" s="85"/>
    </row>
    <row r="533" ht="13.5" customHeight="1">
      <c r="A533" s="90">
        <v>529.0</v>
      </c>
      <c r="B533" s="146">
        <v>46002.0</v>
      </c>
      <c r="C533" s="164">
        <v>91.0</v>
      </c>
      <c r="D533" s="164">
        <v>9.0</v>
      </c>
      <c r="E533" s="164" t="s">
        <v>337</v>
      </c>
      <c r="F533" s="164" t="s">
        <v>309</v>
      </c>
      <c r="G533" s="146">
        <v>46002.0</v>
      </c>
      <c r="H533" s="159" t="s">
        <v>69</v>
      </c>
      <c r="I533" s="85"/>
    </row>
    <row r="534" ht="13.5" customHeight="1">
      <c r="A534" s="90">
        <v>530.0</v>
      </c>
      <c r="B534" s="146">
        <v>46002.0</v>
      </c>
      <c r="C534" s="164">
        <v>91.0</v>
      </c>
      <c r="D534" s="164">
        <v>72.0</v>
      </c>
      <c r="E534" s="164" t="s">
        <v>337</v>
      </c>
      <c r="F534" s="164" t="s">
        <v>309</v>
      </c>
      <c r="G534" s="146">
        <v>46002.0</v>
      </c>
      <c r="H534" s="159" t="s">
        <v>69</v>
      </c>
      <c r="I534" s="85"/>
    </row>
    <row r="535" ht="13.5" customHeight="1">
      <c r="A535" s="90">
        <v>531.0</v>
      </c>
      <c r="B535" s="146">
        <v>46002.0</v>
      </c>
      <c r="C535" s="164">
        <v>94.0</v>
      </c>
      <c r="D535" s="164">
        <v>67.0</v>
      </c>
      <c r="E535" s="164" t="s">
        <v>337</v>
      </c>
      <c r="F535" s="164" t="s">
        <v>309</v>
      </c>
      <c r="G535" s="146">
        <v>46002.0</v>
      </c>
      <c r="H535" s="159" t="s">
        <v>69</v>
      </c>
      <c r="I535" s="85"/>
    </row>
    <row r="536" ht="13.5" customHeight="1">
      <c r="A536" s="90">
        <v>532.0</v>
      </c>
      <c r="B536" s="146">
        <v>46002.0</v>
      </c>
      <c r="C536" s="164">
        <v>94.0</v>
      </c>
      <c r="D536" s="164">
        <v>137.0</v>
      </c>
      <c r="E536" s="164" t="s">
        <v>337</v>
      </c>
      <c r="F536" s="164" t="s">
        <v>309</v>
      </c>
      <c r="G536" s="146">
        <v>46002.0</v>
      </c>
      <c r="H536" s="159" t="s">
        <v>69</v>
      </c>
      <c r="I536" s="85"/>
    </row>
    <row r="537" ht="13.5" customHeight="1">
      <c r="A537" s="90">
        <v>533.0</v>
      </c>
      <c r="B537" s="146">
        <v>46002.0</v>
      </c>
      <c r="C537" s="164">
        <v>94.0</v>
      </c>
      <c r="D537" s="164">
        <v>139.0</v>
      </c>
      <c r="E537" s="164" t="s">
        <v>337</v>
      </c>
      <c r="F537" s="164" t="s">
        <v>309</v>
      </c>
      <c r="G537" s="146">
        <v>46002.0</v>
      </c>
      <c r="H537" s="159" t="s">
        <v>69</v>
      </c>
      <c r="I537" s="85"/>
    </row>
    <row r="538" ht="13.5" customHeight="1">
      <c r="A538" s="90">
        <v>534.0</v>
      </c>
      <c r="B538" s="146">
        <v>46002.0</v>
      </c>
      <c r="C538" s="164">
        <v>99.0</v>
      </c>
      <c r="D538" s="164">
        <v>32.0</v>
      </c>
      <c r="E538" s="164" t="s">
        <v>313</v>
      </c>
      <c r="F538" s="164" t="s">
        <v>309</v>
      </c>
      <c r="G538" s="146">
        <v>46002.0</v>
      </c>
      <c r="H538" s="159" t="s">
        <v>69</v>
      </c>
      <c r="I538" s="85"/>
    </row>
    <row r="539" ht="13.5" customHeight="1">
      <c r="A539" s="90">
        <v>535.0</v>
      </c>
      <c r="B539" s="146">
        <v>46002.0</v>
      </c>
      <c r="C539" s="164">
        <v>99.0</v>
      </c>
      <c r="D539" s="164">
        <v>34.0</v>
      </c>
      <c r="E539" s="164" t="s">
        <v>313</v>
      </c>
      <c r="F539" s="164" t="s">
        <v>309</v>
      </c>
      <c r="G539" s="146">
        <v>46002.0</v>
      </c>
      <c r="H539" s="159" t="s">
        <v>69</v>
      </c>
      <c r="I539" s="85"/>
    </row>
    <row r="540" ht="13.5" customHeight="1">
      <c r="A540" s="90">
        <v>536.0</v>
      </c>
      <c r="B540" s="146">
        <v>46002.0</v>
      </c>
      <c r="C540" s="164">
        <v>99.0</v>
      </c>
      <c r="D540" s="164">
        <v>36.0</v>
      </c>
      <c r="E540" s="164" t="s">
        <v>313</v>
      </c>
      <c r="F540" s="164" t="s">
        <v>309</v>
      </c>
      <c r="G540" s="146">
        <v>46002.0</v>
      </c>
      <c r="H540" s="159" t="s">
        <v>69</v>
      </c>
      <c r="I540" s="85"/>
    </row>
    <row r="541" ht="13.5" customHeight="1">
      <c r="A541" s="90">
        <v>537.0</v>
      </c>
      <c r="B541" s="146">
        <v>46002.0</v>
      </c>
      <c r="C541" s="164">
        <v>99.0</v>
      </c>
      <c r="D541" s="164">
        <v>38.0</v>
      </c>
      <c r="E541" s="164" t="s">
        <v>313</v>
      </c>
      <c r="F541" s="164" t="s">
        <v>309</v>
      </c>
      <c r="G541" s="146">
        <v>46002.0</v>
      </c>
      <c r="H541" s="159" t="s">
        <v>69</v>
      </c>
      <c r="I541" s="85"/>
    </row>
    <row r="542" ht="13.5" customHeight="1">
      <c r="A542" s="90">
        <v>538.0</v>
      </c>
      <c r="B542" s="146">
        <v>46002.0</v>
      </c>
      <c r="C542" s="164">
        <v>99.0</v>
      </c>
      <c r="D542" s="164">
        <v>40.0</v>
      </c>
      <c r="E542" s="164" t="s">
        <v>313</v>
      </c>
      <c r="F542" s="164" t="s">
        <v>309</v>
      </c>
      <c r="G542" s="146">
        <v>46002.0</v>
      </c>
      <c r="H542" s="159" t="s">
        <v>69</v>
      </c>
      <c r="I542" s="85"/>
    </row>
    <row r="543" ht="13.5" customHeight="1">
      <c r="A543" s="90">
        <v>539.0</v>
      </c>
      <c r="B543" s="146">
        <v>46002.0</v>
      </c>
      <c r="C543" s="164">
        <v>99.0</v>
      </c>
      <c r="D543" s="164">
        <v>42.0</v>
      </c>
      <c r="E543" s="164" t="s">
        <v>313</v>
      </c>
      <c r="F543" s="164" t="s">
        <v>309</v>
      </c>
      <c r="G543" s="146">
        <v>46002.0</v>
      </c>
      <c r="H543" s="159" t="s">
        <v>69</v>
      </c>
      <c r="I543" s="85"/>
    </row>
    <row r="544" ht="13.5" customHeight="1">
      <c r="A544" s="90">
        <v>540.0</v>
      </c>
      <c r="B544" s="146">
        <v>46002.0</v>
      </c>
      <c r="C544" s="164">
        <v>99.0</v>
      </c>
      <c r="D544" s="164">
        <v>44.0</v>
      </c>
      <c r="E544" s="164" t="s">
        <v>313</v>
      </c>
      <c r="F544" s="164" t="s">
        <v>309</v>
      </c>
      <c r="G544" s="146">
        <v>46002.0</v>
      </c>
      <c r="H544" s="159" t="s">
        <v>69</v>
      </c>
      <c r="I544" s="85"/>
    </row>
    <row r="545" ht="13.5" customHeight="1">
      <c r="A545" s="90">
        <v>541.0</v>
      </c>
      <c r="B545" s="146">
        <v>46002.0</v>
      </c>
      <c r="C545" s="164">
        <v>99.0</v>
      </c>
      <c r="D545" s="164">
        <v>48.0</v>
      </c>
      <c r="E545" s="164" t="s">
        <v>313</v>
      </c>
      <c r="F545" s="164" t="s">
        <v>309</v>
      </c>
      <c r="G545" s="146">
        <v>46002.0</v>
      </c>
      <c r="H545" s="159" t="s">
        <v>69</v>
      </c>
      <c r="I545" s="85"/>
    </row>
    <row r="546" ht="13.5" customHeight="1">
      <c r="A546" s="90">
        <v>542.0</v>
      </c>
      <c r="B546" s="146">
        <v>46002.0</v>
      </c>
      <c r="C546" s="164">
        <v>99.0</v>
      </c>
      <c r="D546" s="164">
        <v>61.0</v>
      </c>
      <c r="E546" s="164" t="s">
        <v>335</v>
      </c>
      <c r="F546" s="164" t="s">
        <v>309</v>
      </c>
      <c r="G546" s="146">
        <v>46002.0</v>
      </c>
      <c r="H546" s="159" t="s">
        <v>69</v>
      </c>
      <c r="I546" s="85"/>
    </row>
    <row r="547" ht="13.5" customHeight="1">
      <c r="A547" s="90">
        <v>543.0</v>
      </c>
      <c r="B547" s="146">
        <v>46002.0</v>
      </c>
      <c r="C547" s="164">
        <v>99.0</v>
      </c>
      <c r="D547" s="164">
        <v>64.0</v>
      </c>
      <c r="E547" s="164" t="s">
        <v>313</v>
      </c>
      <c r="F547" s="164" t="s">
        <v>309</v>
      </c>
      <c r="G547" s="146">
        <v>46002.0</v>
      </c>
      <c r="H547" s="159" t="s">
        <v>69</v>
      </c>
      <c r="I547" s="85"/>
    </row>
    <row r="548" ht="13.5" customHeight="1">
      <c r="A548" s="90">
        <v>544.0</v>
      </c>
      <c r="B548" s="146">
        <v>46002.0</v>
      </c>
      <c r="C548" s="164">
        <v>99.0</v>
      </c>
      <c r="D548" s="164">
        <v>83.0</v>
      </c>
      <c r="E548" s="164" t="s">
        <v>313</v>
      </c>
      <c r="F548" s="164" t="s">
        <v>309</v>
      </c>
      <c r="G548" s="146">
        <v>46002.0</v>
      </c>
      <c r="H548" s="159" t="s">
        <v>69</v>
      </c>
      <c r="I548" s="85"/>
    </row>
    <row r="549" ht="13.5" customHeight="1">
      <c r="A549" s="90">
        <v>545.0</v>
      </c>
      <c r="B549" s="146">
        <v>46002.0</v>
      </c>
      <c r="C549" s="164">
        <v>99.0</v>
      </c>
      <c r="D549" s="164">
        <v>86.0</v>
      </c>
      <c r="E549" s="164" t="s">
        <v>313</v>
      </c>
      <c r="F549" s="164" t="s">
        <v>309</v>
      </c>
      <c r="G549" s="146">
        <v>46002.0</v>
      </c>
      <c r="H549" s="159" t="s">
        <v>69</v>
      </c>
      <c r="I549" s="85"/>
    </row>
    <row r="550" ht="13.5" customHeight="1">
      <c r="A550" s="90">
        <v>546.0</v>
      </c>
      <c r="B550" s="146">
        <v>46002.0</v>
      </c>
      <c r="C550" s="164">
        <v>102.0</v>
      </c>
      <c r="D550" s="164">
        <v>129.0</v>
      </c>
      <c r="E550" s="164" t="s">
        <v>337</v>
      </c>
      <c r="F550" s="164" t="s">
        <v>309</v>
      </c>
      <c r="G550" s="146">
        <v>46002.0</v>
      </c>
      <c r="H550" s="159" t="s">
        <v>69</v>
      </c>
      <c r="I550" s="85"/>
    </row>
    <row r="551" ht="13.5" customHeight="1">
      <c r="A551" s="90">
        <v>547.0</v>
      </c>
      <c r="B551" s="146">
        <v>46002.0</v>
      </c>
      <c r="C551" s="164">
        <v>108.0</v>
      </c>
      <c r="D551" s="164">
        <v>18.0</v>
      </c>
      <c r="E551" s="164" t="s">
        <v>337</v>
      </c>
      <c r="F551" s="164" t="s">
        <v>309</v>
      </c>
      <c r="G551" s="146">
        <v>46002.0</v>
      </c>
      <c r="H551" s="159" t="s">
        <v>69</v>
      </c>
      <c r="I551" s="85"/>
    </row>
    <row r="552" ht="13.5" customHeight="1">
      <c r="A552" s="90">
        <v>548.0</v>
      </c>
      <c r="B552" s="146">
        <v>46002.0</v>
      </c>
      <c r="C552" s="164">
        <v>108.0</v>
      </c>
      <c r="D552" s="164">
        <v>20.0</v>
      </c>
      <c r="E552" s="164" t="s">
        <v>337</v>
      </c>
      <c r="F552" s="164" t="s">
        <v>309</v>
      </c>
      <c r="G552" s="146">
        <v>46002.0</v>
      </c>
      <c r="H552" s="159" t="s">
        <v>69</v>
      </c>
      <c r="I552" s="85"/>
    </row>
    <row r="553" ht="13.5" customHeight="1">
      <c r="A553" s="90">
        <v>549.0</v>
      </c>
      <c r="B553" s="146">
        <v>46002.0</v>
      </c>
      <c r="C553" s="164">
        <v>112.0</v>
      </c>
      <c r="D553" s="164">
        <v>130.0</v>
      </c>
      <c r="E553" s="164" t="s">
        <v>313</v>
      </c>
      <c r="F553" s="164" t="s">
        <v>309</v>
      </c>
      <c r="G553" s="146">
        <v>46002.0</v>
      </c>
      <c r="H553" s="159" t="s">
        <v>69</v>
      </c>
      <c r="I553" s="85"/>
    </row>
    <row r="554" ht="13.5" customHeight="1">
      <c r="A554" s="90">
        <v>550.0</v>
      </c>
      <c r="B554" s="146">
        <v>46002.0</v>
      </c>
      <c r="C554" s="164">
        <v>112.0</v>
      </c>
      <c r="D554" s="164">
        <v>132.0</v>
      </c>
      <c r="E554" s="164" t="s">
        <v>313</v>
      </c>
      <c r="F554" s="164" t="s">
        <v>309</v>
      </c>
      <c r="G554" s="146">
        <v>46002.0</v>
      </c>
      <c r="H554" s="159" t="s">
        <v>69</v>
      </c>
      <c r="I554" s="85"/>
    </row>
    <row r="555" ht="13.5" customHeight="1">
      <c r="A555" s="90">
        <v>551.0</v>
      </c>
      <c r="B555" s="146">
        <v>46002.0</v>
      </c>
      <c r="C555" s="164">
        <v>114.0</v>
      </c>
      <c r="D555" s="164">
        <v>113.0</v>
      </c>
      <c r="E555" s="164" t="s">
        <v>337</v>
      </c>
      <c r="F555" s="164" t="s">
        <v>309</v>
      </c>
      <c r="G555" s="146">
        <v>46002.0</v>
      </c>
      <c r="H555" s="159" t="s">
        <v>69</v>
      </c>
      <c r="I555" s="85"/>
    </row>
    <row r="556" ht="13.5" customHeight="1">
      <c r="A556" s="90">
        <v>552.0</v>
      </c>
      <c r="B556" s="146">
        <v>46002.0</v>
      </c>
      <c r="C556" s="164">
        <v>121.0</v>
      </c>
      <c r="D556" s="164">
        <v>48.0</v>
      </c>
      <c r="E556" s="164" t="s">
        <v>310</v>
      </c>
      <c r="F556" s="164" t="s">
        <v>309</v>
      </c>
      <c r="G556" s="146">
        <v>46002.0</v>
      </c>
      <c r="H556" s="159" t="s">
        <v>69</v>
      </c>
      <c r="I556" s="85"/>
    </row>
    <row r="557" ht="13.5" customHeight="1">
      <c r="A557" s="90">
        <v>553.0</v>
      </c>
      <c r="B557" s="146">
        <v>46002.0</v>
      </c>
      <c r="C557" s="164">
        <v>121.0</v>
      </c>
      <c r="D557" s="164">
        <v>48.0</v>
      </c>
      <c r="E557" s="164" t="s">
        <v>337</v>
      </c>
      <c r="F557" s="164" t="s">
        <v>309</v>
      </c>
      <c r="G557" s="146">
        <v>46002.0</v>
      </c>
      <c r="H557" s="159" t="s">
        <v>69</v>
      </c>
      <c r="I557" s="85"/>
    </row>
    <row r="558" ht="13.5" customHeight="1">
      <c r="A558" s="90">
        <v>554.0</v>
      </c>
      <c r="B558" s="146">
        <v>46002.0</v>
      </c>
      <c r="C558" s="164">
        <v>122.0</v>
      </c>
      <c r="D558" s="164">
        <v>125.0</v>
      </c>
      <c r="E558" s="164" t="s">
        <v>337</v>
      </c>
      <c r="F558" s="164" t="s">
        <v>309</v>
      </c>
      <c r="G558" s="146">
        <v>46002.0</v>
      </c>
      <c r="H558" s="159" t="s">
        <v>69</v>
      </c>
      <c r="I558" s="85"/>
    </row>
    <row r="559" ht="13.5" customHeight="1">
      <c r="A559" s="90">
        <v>555.0</v>
      </c>
      <c r="B559" s="146">
        <v>46002.0</v>
      </c>
      <c r="C559" s="164">
        <v>125.0</v>
      </c>
      <c r="D559" s="164">
        <v>132.0</v>
      </c>
      <c r="E559" s="164" t="s">
        <v>337</v>
      </c>
      <c r="F559" s="164" t="s">
        <v>309</v>
      </c>
      <c r="G559" s="146">
        <v>46002.0</v>
      </c>
      <c r="H559" s="159" t="s">
        <v>69</v>
      </c>
      <c r="I559" s="85"/>
    </row>
    <row r="560" ht="13.5" customHeight="1">
      <c r="A560" s="90">
        <v>556.0</v>
      </c>
      <c r="B560" s="146">
        <v>46002.0</v>
      </c>
      <c r="C560" s="164">
        <v>126.0</v>
      </c>
      <c r="D560" s="164">
        <v>40.0</v>
      </c>
      <c r="E560" s="164" t="s">
        <v>337</v>
      </c>
      <c r="F560" s="164" t="s">
        <v>309</v>
      </c>
      <c r="G560" s="146">
        <v>46002.0</v>
      </c>
      <c r="H560" s="159" t="s">
        <v>69</v>
      </c>
      <c r="I560" s="85"/>
    </row>
    <row r="561" ht="13.5" customHeight="1">
      <c r="A561" s="90">
        <v>557.0</v>
      </c>
      <c r="B561" s="146">
        <v>46002.0</v>
      </c>
      <c r="C561" s="164">
        <v>129.0</v>
      </c>
      <c r="D561" s="164">
        <v>112.0</v>
      </c>
      <c r="E561" s="164" t="s">
        <v>335</v>
      </c>
      <c r="F561" s="164" t="s">
        <v>309</v>
      </c>
      <c r="G561" s="146">
        <v>46002.0</v>
      </c>
      <c r="H561" s="159" t="s">
        <v>69</v>
      </c>
      <c r="I561" s="85"/>
    </row>
    <row r="562" ht="13.5" customHeight="1">
      <c r="A562" s="90">
        <v>558.0</v>
      </c>
      <c r="B562" s="146">
        <v>46002.0</v>
      </c>
      <c r="C562" s="164">
        <v>130.0</v>
      </c>
      <c r="D562" s="164">
        <v>98.0</v>
      </c>
      <c r="E562" s="164" t="s">
        <v>337</v>
      </c>
      <c r="F562" s="164" t="s">
        <v>309</v>
      </c>
      <c r="G562" s="146">
        <v>46002.0</v>
      </c>
      <c r="H562" s="159" t="s">
        <v>69</v>
      </c>
      <c r="I562" s="85"/>
    </row>
    <row r="563" ht="13.5" customHeight="1">
      <c r="A563" s="90">
        <v>559.0</v>
      </c>
      <c r="B563" s="146">
        <v>46003.0</v>
      </c>
      <c r="C563" s="78">
        <v>26.0</v>
      </c>
      <c r="D563" s="78">
        <v>93.0</v>
      </c>
      <c r="E563" s="78" t="s">
        <v>323</v>
      </c>
      <c r="F563" s="164" t="s">
        <v>328</v>
      </c>
      <c r="G563" s="146">
        <v>46005.0</v>
      </c>
      <c r="H563" s="159" t="s">
        <v>69</v>
      </c>
      <c r="I563" s="78" t="s">
        <v>327</v>
      </c>
    </row>
    <row r="564" ht="13.5" customHeight="1">
      <c r="A564" s="90">
        <v>560.0</v>
      </c>
      <c r="B564" s="146">
        <v>46003.0</v>
      </c>
      <c r="C564" s="78">
        <v>66.0</v>
      </c>
      <c r="D564" s="78">
        <v>20.0</v>
      </c>
      <c r="E564" s="164" t="s">
        <v>335</v>
      </c>
      <c r="F564" s="78" t="s">
        <v>314</v>
      </c>
      <c r="G564" s="146">
        <v>46005.0</v>
      </c>
      <c r="H564" s="159" t="s">
        <v>69</v>
      </c>
      <c r="I564" s="165" t="s">
        <v>375</v>
      </c>
    </row>
    <row r="565" ht="13.5" customHeight="1">
      <c r="A565" s="90">
        <v>561.0</v>
      </c>
      <c r="B565" s="146">
        <v>46003.0</v>
      </c>
      <c r="C565" s="78">
        <v>102.0</v>
      </c>
      <c r="D565" s="78">
        <v>129.0</v>
      </c>
      <c r="E565" s="164" t="s">
        <v>337</v>
      </c>
      <c r="F565" s="78" t="s">
        <v>285</v>
      </c>
      <c r="G565" s="146">
        <v>46004.0</v>
      </c>
      <c r="H565" s="159" t="s">
        <v>69</v>
      </c>
      <c r="I565" s="78" t="s">
        <v>327</v>
      </c>
    </row>
    <row r="566" ht="13.5" customHeight="1">
      <c r="A566" s="90">
        <v>562.0</v>
      </c>
      <c r="B566" s="146">
        <v>46003.0</v>
      </c>
      <c r="C566" s="164">
        <v>4.0</v>
      </c>
      <c r="D566" s="164">
        <v>61.0</v>
      </c>
      <c r="E566" s="164" t="s">
        <v>310</v>
      </c>
      <c r="F566" s="164" t="s">
        <v>309</v>
      </c>
      <c r="G566" s="146">
        <v>46003.0</v>
      </c>
      <c r="H566" s="159" t="s">
        <v>69</v>
      </c>
      <c r="I566" s="85"/>
    </row>
    <row r="567" ht="13.5" customHeight="1">
      <c r="A567" s="90">
        <v>563.0</v>
      </c>
      <c r="B567" s="146">
        <v>46003.0</v>
      </c>
      <c r="C567" s="164">
        <v>5.0</v>
      </c>
      <c r="D567" s="164">
        <v>5.0</v>
      </c>
      <c r="E567" s="164" t="s">
        <v>323</v>
      </c>
      <c r="F567" s="164" t="s">
        <v>376</v>
      </c>
      <c r="G567" s="146">
        <v>46003.0</v>
      </c>
      <c r="H567" s="159" t="s">
        <v>69</v>
      </c>
      <c r="I567" s="85"/>
    </row>
    <row r="568" ht="13.5" customHeight="1">
      <c r="A568" s="90">
        <v>564.0</v>
      </c>
      <c r="B568" s="146">
        <v>46003.0</v>
      </c>
      <c r="C568" s="164">
        <v>21.0</v>
      </c>
      <c r="D568" s="164">
        <v>126.0</v>
      </c>
      <c r="E568" s="164" t="s">
        <v>323</v>
      </c>
      <c r="F568" s="164" t="s">
        <v>309</v>
      </c>
      <c r="G568" s="146">
        <v>46003.0</v>
      </c>
      <c r="H568" s="159" t="s">
        <v>69</v>
      </c>
      <c r="I568" s="85"/>
    </row>
    <row r="569" ht="13.5" customHeight="1">
      <c r="A569" s="90">
        <v>565.0</v>
      </c>
      <c r="B569" s="146">
        <v>46003.0</v>
      </c>
      <c r="C569" s="164">
        <v>26.0</v>
      </c>
      <c r="D569" s="164">
        <v>94.0</v>
      </c>
      <c r="E569" s="164" t="s">
        <v>337</v>
      </c>
      <c r="F569" s="164" t="s">
        <v>309</v>
      </c>
      <c r="G569" s="146">
        <v>46003.0</v>
      </c>
      <c r="H569" s="159" t="s">
        <v>69</v>
      </c>
      <c r="I569" s="85"/>
    </row>
    <row r="570" ht="13.5" customHeight="1">
      <c r="A570" s="90">
        <v>566.0</v>
      </c>
      <c r="B570" s="146">
        <v>46003.0</v>
      </c>
      <c r="C570" s="164">
        <v>38.0</v>
      </c>
      <c r="D570" s="164">
        <v>87.0</v>
      </c>
      <c r="E570" s="164" t="s">
        <v>323</v>
      </c>
      <c r="F570" s="164" t="s">
        <v>309</v>
      </c>
      <c r="G570" s="146">
        <v>46003.0</v>
      </c>
      <c r="H570" s="159" t="s">
        <v>69</v>
      </c>
      <c r="I570" s="85"/>
    </row>
    <row r="571" ht="13.5" customHeight="1">
      <c r="A571" s="90">
        <v>567.0</v>
      </c>
      <c r="B571" s="146">
        <v>46003.0</v>
      </c>
      <c r="C571" s="164">
        <v>43.0</v>
      </c>
      <c r="D571" s="164">
        <v>18.0</v>
      </c>
      <c r="E571" s="164" t="s">
        <v>335</v>
      </c>
      <c r="F571" s="164" t="s">
        <v>309</v>
      </c>
      <c r="G571" s="146">
        <v>46003.0</v>
      </c>
      <c r="H571" s="159" t="s">
        <v>69</v>
      </c>
      <c r="I571" s="85"/>
    </row>
    <row r="572" ht="13.5" customHeight="1">
      <c r="A572" s="90">
        <v>568.0</v>
      </c>
      <c r="B572" s="146">
        <v>46003.0</v>
      </c>
      <c r="C572" s="164">
        <v>59.0</v>
      </c>
      <c r="D572" s="164">
        <v>68.0</v>
      </c>
      <c r="E572" s="164" t="s">
        <v>323</v>
      </c>
      <c r="F572" s="164" t="s">
        <v>309</v>
      </c>
      <c r="G572" s="146">
        <v>46003.0</v>
      </c>
      <c r="H572" s="159" t="s">
        <v>69</v>
      </c>
      <c r="I572" s="85"/>
    </row>
    <row r="573" ht="13.5" customHeight="1">
      <c r="A573" s="90">
        <v>569.0</v>
      </c>
      <c r="B573" s="146">
        <v>46003.0</v>
      </c>
      <c r="C573" s="164">
        <v>61.0</v>
      </c>
      <c r="D573" s="164">
        <v>63.0</v>
      </c>
      <c r="E573" s="164" t="s">
        <v>337</v>
      </c>
      <c r="F573" s="164" t="s">
        <v>309</v>
      </c>
      <c r="G573" s="146">
        <v>46003.0</v>
      </c>
      <c r="H573" s="159" t="s">
        <v>69</v>
      </c>
      <c r="I573" s="85"/>
    </row>
    <row r="574" ht="13.5" customHeight="1">
      <c r="A574" s="90">
        <v>570.0</v>
      </c>
      <c r="B574" s="146">
        <v>46003.0</v>
      </c>
      <c r="C574" s="164">
        <v>66.0</v>
      </c>
      <c r="D574" s="164">
        <v>25.0</v>
      </c>
      <c r="E574" s="164" t="s">
        <v>323</v>
      </c>
      <c r="F574" s="164" t="s">
        <v>309</v>
      </c>
      <c r="G574" s="146">
        <v>46003.0</v>
      </c>
      <c r="H574" s="159" t="s">
        <v>69</v>
      </c>
      <c r="I574" s="85"/>
    </row>
    <row r="575" ht="13.5" customHeight="1">
      <c r="A575" s="90">
        <v>571.0</v>
      </c>
      <c r="B575" s="146">
        <v>46003.0</v>
      </c>
      <c r="C575" s="164">
        <v>79.0</v>
      </c>
      <c r="D575" s="164">
        <v>63.0</v>
      </c>
      <c r="E575" s="164" t="s">
        <v>310</v>
      </c>
      <c r="F575" s="164" t="s">
        <v>309</v>
      </c>
      <c r="G575" s="146">
        <v>46003.0</v>
      </c>
      <c r="H575" s="159" t="s">
        <v>69</v>
      </c>
      <c r="I575" s="85"/>
    </row>
    <row r="576" ht="13.5" customHeight="1">
      <c r="A576" s="90">
        <v>572.0</v>
      </c>
      <c r="B576" s="146">
        <v>46003.0</v>
      </c>
      <c r="C576" s="164">
        <v>80.0</v>
      </c>
      <c r="D576" s="164">
        <v>46.0</v>
      </c>
      <c r="E576" s="164" t="s">
        <v>323</v>
      </c>
      <c r="F576" s="164" t="s">
        <v>309</v>
      </c>
      <c r="G576" s="146">
        <v>46003.0</v>
      </c>
      <c r="H576" s="159" t="s">
        <v>69</v>
      </c>
      <c r="I576" s="85"/>
    </row>
    <row r="577" ht="13.5" customHeight="1">
      <c r="A577" s="90">
        <v>573.0</v>
      </c>
      <c r="B577" s="146">
        <v>46003.0</v>
      </c>
      <c r="C577" s="164">
        <v>80.0</v>
      </c>
      <c r="D577" s="164">
        <v>95.0</v>
      </c>
      <c r="E577" s="164" t="s">
        <v>335</v>
      </c>
      <c r="F577" s="164" t="s">
        <v>309</v>
      </c>
      <c r="G577" s="146">
        <v>46003.0</v>
      </c>
      <c r="H577" s="159" t="s">
        <v>69</v>
      </c>
      <c r="I577" s="85"/>
    </row>
    <row r="578" ht="13.5" customHeight="1">
      <c r="A578" s="90">
        <v>574.0</v>
      </c>
      <c r="B578" s="146">
        <v>46003.0</v>
      </c>
      <c r="C578" s="164">
        <v>83.0</v>
      </c>
      <c r="D578" s="164">
        <v>143.0</v>
      </c>
      <c r="E578" s="164" t="s">
        <v>310</v>
      </c>
      <c r="F578" s="164" t="s">
        <v>309</v>
      </c>
      <c r="G578" s="146">
        <v>46003.0</v>
      </c>
      <c r="H578" s="159" t="s">
        <v>69</v>
      </c>
      <c r="I578" s="85"/>
    </row>
    <row r="579" ht="13.5" customHeight="1">
      <c r="A579" s="90">
        <v>575.0</v>
      </c>
      <c r="B579" s="146">
        <v>46003.0</v>
      </c>
      <c r="C579" s="164">
        <v>87.0</v>
      </c>
      <c r="D579" s="164">
        <v>94.0</v>
      </c>
      <c r="E579" s="164" t="s">
        <v>313</v>
      </c>
      <c r="F579" s="164" t="s">
        <v>309</v>
      </c>
      <c r="G579" s="146">
        <v>46003.0</v>
      </c>
      <c r="H579" s="159" t="s">
        <v>69</v>
      </c>
      <c r="I579" s="85"/>
    </row>
    <row r="580" ht="13.5" customHeight="1">
      <c r="A580" s="90">
        <v>576.0</v>
      </c>
      <c r="B580" s="146">
        <v>46003.0</v>
      </c>
      <c r="C580" s="164">
        <v>88.0</v>
      </c>
      <c r="D580" s="164">
        <v>69.0</v>
      </c>
      <c r="E580" s="164" t="s">
        <v>323</v>
      </c>
      <c r="F580" s="164" t="s">
        <v>309</v>
      </c>
      <c r="G580" s="146">
        <v>46003.0</v>
      </c>
      <c r="H580" s="159" t="s">
        <v>69</v>
      </c>
      <c r="I580" s="85"/>
    </row>
    <row r="581" ht="13.5" customHeight="1">
      <c r="A581" s="90">
        <v>577.0</v>
      </c>
      <c r="B581" s="146">
        <v>46003.0</v>
      </c>
      <c r="C581" s="164">
        <v>94.0</v>
      </c>
      <c r="D581" s="164">
        <v>67.0</v>
      </c>
      <c r="E581" s="164" t="s">
        <v>337</v>
      </c>
      <c r="F581" s="164" t="s">
        <v>309</v>
      </c>
      <c r="G581" s="146">
        <v>46003.0</v>
      </c>
      <c r="H581" s="159" t="s">
        <v>69</v>
      </c>
      <c r="I581" s="85"/>
    </row>
    <row r="582" ht="13.5" customHeight="1">
      <c r="A582" s="90">
        <v>578.0</v>
      </c>
      <c r="B582" s="146">
        <v>46003.0</v>
      </c>
      <c r="C582" s="164">
        <v>94.0</v>
      </c>
      <c r="D582" s="164">
        <v>137.0</v>
      </c>
      <c r="E582" s="164" t="s">
        <v>337</v>
      </c>
      <c r="F582" s="164" t="s">
        <v>309</v>
      </c>
      <c r="G582" s="146">
        <v>46003.0</v>
      </c>
      <c r="H582" s="159" t="s">
        <v>69</v>
      </c>
      <c r="I582" s="85"/>
    </row>
    <row r="583" ht="13.5" customHeight="1">
      <c r="A583" s="90">
        <v>579.0</v>
      </c>
      <c r="B583" s="146">
        <v>46003.0</v>
      </c>
      <c r="C583" s="164">
        <v>94.0</v>
      </c>
      <c r="D583" s="164">
        <v>139.0</v>
      </c>
      <c r="E583" s="164" t="s">
        <v>337</v>
      </c>
      <c r="F583" s="164" t="s">
        <v>309</v>
      </c>
      <c r="G583" s="146">
        <v>46003.0</v>
      </c>
      <c r="H583" s="159" t="s">
        <v>69</v>
      </c>
      <c r="I583" s="85"/>
    </row>
    <row r="584" ht="13.5" customHeight="1">
      <c r="A584" s="90">
        <v>580.0</v>
      </c>
      <c r="B584" s="146">
        <v>46003.0</v>
      </c>
      <c r="C584" s="164">
        <v>99.0</v>
      </c>
      <c r="D584" s="164">
        <v>14.0</v>
      </c>
      <c r="E584" s="164" t="s">
        <v>313</v>
      </c>
      <c r="F584" s="164" t="s">
        <v>309</v>
      </c>
      <c r="G584" s="146">
        <v>46003.0</v>
      </c>
      <c r="H584" s="159" t="s">
        <v>69</v>
      </c>
      <c r="I584" s="85"/>
    </row>
    <row r="585" ht="13.5" customHeight="1">
      <c r="A585" s="90">
        <v>581.0</v>
      </c>
      <c r="B585" s="146">
        <v>46003.0</v>
      </c>
      <c r="C585" s="164">
        <v>99.0</v>
      </c>
      <c r="D585" s="164">
        <v>20.0</v>
      </c>
      <c r="E585" s="164" t="s">
        <v>313</v>
      </c>
      <c r="F585" s="164" t="s">
        <v>309</v>
      </c>
      <c r="G585" s="146">
        <v>46003.0</v>
      </c>
      <c r="H585" s="159" t="s">
        <v>69</v>
      </c>
      <c r="I585" s="85"/>
    </row>
    <row r="586" ht="13.5" customHeight="1">
      <c r="A586" s="90">
        <v>582.0</v>
      </c>
      <c r="B586" s="146">
        <v>46003.0</v>
      </c>
      <c r="C586" s="164">
        <v>99.0</v>
      </c>
      <c r="D586" s="164">
        <v>22.0</v>
      </c>
      <c r="E586" s="164" t="s">
        <v>313</v>
      </c>
      <c r="F586" s="164" t="s">
        <v>309</v>
      </c>
      <c r="G586" s="146">
        <v>46003.0</v>
      </c>
      <c r="H586" s="159" t="s">
        <v>69</v>
      </c>
      <c r="I586" s="85"/>
    </row>
    <row r="587" ht="13.5" customHeight="1">
      <c r="A587" s="90">
        <v>583.0</v>
      </c>
      <c r="B587" s="146">
        <v>46003.0</v>
      </c>
      <c r="C587" s="164">
        <v>99.0</v>
      </c>
      <c r="D587" s="164">
        <v>30.0</v>
      </c>
      <c r="E587" s="164" t="s">
        <v>313</v>
      </c>
      <c r="F587" s="164" t="s">
        <v>309</v>
      </c>
      <c r="G587" s="146">
        <v>46003.0</v>
      </c>
      <c r="H587" s="159" t="s">
        <v>69</v>
      </c>
      <c r="I587" s="85"/>
    </row>
    <row r="588" ht="13.5" customHeight="1">
      <c r="A588" s="90">
        <v>584.0</v>
      </c>
      <c r="B588" s="146">
        <v>46003.0</v>
      </c>
      <c r="C588" s="164">
        <v>99.0</v>
      </c>
      <c r="D588" s="164">
        <v>32.0</v>
      </c>
      <c r="E588" s="164" t="s">
        <v>313</v>
      </c>
      <c r="F588" s="164" t="s">
        <v>309</v>
      </c>
      <c r="G588" s="146">
        <v>46003.0</v>
      </c>
      <c r="H588" s="159" t="s">
        <v>69</v>
      </c>
      <c r="I588" s="85"/>
    </row>
    <row r="589" ht="13.5" customHeight="1">
      <c r="A589" s="90">
        <v>585.0</v>
      </c>
      <c r="B589" s="146">
        <v>46003.0</v>
      </c>
      <c r="C589" s="164">
        <v>99.0</v>
      </c>
      <c r="D589" s="164">
        <v>61.0</v>
      </c>
      <c r="E589" s="164" t="s">
        <v>335</v>
      </c>
      <c r="F589" s="164" t="s">
        <v>309</v>
      </c>
      <c r="G589" s="146">
        <v>46003.0</v>
      </c>
      <c r="H589" s="159" t="s">
        <v>69</v>
      </c>
      <c r="I589" s="85"/>
    </row>
    <row r="590" ht="13.5" customHeight="1">
      <c r="A590" s="90">
        <v>586.0</v>
      </c>
      <c r="B590" s="146">
        <v>46003.0</v>
      </c>
      <c r="C590" s="164">
        <v>99.0</v>
      </c>
      <c r="D590" s="164">
        <v>64.0</v>
      </c>
      <c r="E590" s="164" t="s">
        <v>323</v>
      </c>
      <c r="F590" s="164" t="s">
        <v>309</v>
      </c>
      <c r="G590" s="146">
        <v>46003.0</v>
      </c>
      <c r="H590" s="159" t="s">
        <v>69</v>
      </c>
      <c r="I590" s="85"/>
    </row>
    <row r="591" ht="13.5" customHeight="1">
      <c r="A591" s="90">
        <v>587.0</v>
      </c>
      <c r="B591" s="146">
        <v>46003.0</v>
      </c>
      <c r="C591" s="164">
        <v>108.0</v>
      </c>
      <c r="D591" s="164">
        <v>18.0</v>
      </c>
      <c r="E591" s="164" t="s">
        <v>337</v>
      </c>
      <c r="F591" s="164" t="s">
        <v>309</v>
      </c>
      <c r="G591" s="146">
        <v>46003.0</v>
      </c>
      <c r="H591" s="159" t="s">
        <v>69</v>
      </c>
      <c r="I591" s="85"/>
    </row>
    <row r="592" ht="13.5" customHeight="1">
      <c r="A592" s="90">
        <v>588.0</v>
      </c>
      <c r="B592" s="146">
        <v>46003.0</v>
      </c>
      <c r="C592" s="164">
        <v>108.0</v>
      </c>
      <c r="D592" s="164">
        <v>20.0</v>
      </c>
      <c r="E592" s="164" t="s">
        <v>337</v>
      </c>
      <c r="F592" s="164" t="s">
        <v>309</v>
      </c>
      <c r="G592" s="146">
        <v>46003.0</v>
      </c>
      <c r="H592" s="159" t="s">
        <v>69</v>
      </c>
      <c r="I592" s="85"/>
    </row>
    <row r="593" ht="13.5" customHeight="1">
      <c r="A593" s="90">
        <v>589.0</v>
      </c>
      <c r="B593" s="146">
        <v>46003.0</v>
      </c>
      <c r="C593" s="164">
        <v>112.0</v>
      </c>
      <c r="D593" s="164">
        <v>136.0</v>
      </c>
      <c r="E593" s="164" t="s">
        <v>323</v>
      </c>
      <c r="F593" s="164" t="s">
        <v>309</v>
      </c>
      <c r="G593" s="146">
        <v>46003.0</v>
      </c>
      <c r="H593" s="159" t="s">
        <v>69</v>
      </c>
      <c r="I593" s="85"/>
    </row>
    <row r="594" ht="13.5" customHeight="1">
      <c r="A594" s="90">
        <v>590.0</v>
      </c>
      <c r="B594" s="146">
        <v>46003.0</v>
      </c>
      <c r="C594" s="164">
        <v>121.0</v>
      </c>
      <c r="D594" s="164">
        <v>48.0</v>
      </c>
      <c r="E594" s="164" t="s">
        <v>337</v>
      </c>
      <c r="F594" s="164" t="s">
        <v>309</v>
      </c>
      <c r="G594" s="146">
        <v>46003.0</v>
      </c>
      <c r="H594" s="159" t="s">
        <v>69</v>
      </c>
      <c r="I594" s="85"/>
    </row>
    <row r="595" ht="13.5" customHeight="1">
      <c r="A595" s="90">
        <v>591.0</v>
      </c>
      <c r="B595" s="146">
        <v>46003.0</v>
      </c>
      <c r="C595" s="164">
        <v>122.0</v>
      </c>
      <c r="D595" s="164">
        <v>125.0</v>
      </c>
      <c r="E595" s="164" t="s">
        <v>337</v>
      </c>
      <c r="F595" s="164" t="s">
        <v>309</v>
      </c>
      <c r="G595" s="146">
        <v>46003.0</v>
      </c>
      <c r="H595" s="159" t="s">
        <v>69</v>
      </c>
      <c r="I595" s="85"/>
    </row>
    <row r="596" ht="13.5" customHeight="1">
      <c r="A596" s="90">
        <v>592.0</v>
      </c>
      <c r="B596" s="146">
        <v>46003.0</v>
      </c>
      <c r="C596" s="164">
        <v>126.0</v>
      </c>
      <c r="D596" s="164">
        <v>40.0</v>
      </c>
      <c r="E596" s="164" t="s">
        <v>370</v>
      </c>
      <c r="F596" s="164" t="s">
        <v>309</v>
      </c>
      <c r="G596" s="146">
        <v>46003.0</v>
      </c>
      <c r="H596" s="159" t="s">
        <v>69</v>
      </c>
      <c r="I596" s="85"/>
    </row>
    <row r="597" ht="13.5" customHeight="1">
      <c r="A597" s="90">
        <v>593.0</v>
      </c>
      <c r="B597" s="146">
        <v>46003.0</v>
      </c>
      <c r="C597" s="164">
        <v>130.0</v>
      </c>
      <c r="D597" s="164">
        <v>98.0</v>
      </c>
      <c r="E597" s="164" t="s">
        <v>323</v>
      </c>
      <c r="F597" s="164" t="s">
        <v>309</v>
      </c>
      <c r="G597" s="146">
        <v>46003.0</v>
      </c>
      <c r="H597" s="159" t="s">
        <v>69</v>
      </c>
      <c r="I597" s="85"/>
    </row>
    <row r="598" ht="13.5" customHeight="1">
      <c r="A598" s="90">
        <v>594.0</v>
      </c>
      <c r="B598" s="146">
        <v>46004.0</v>
      </c>
      <c r="C598" s="78">
        <v>58.0</v>
      </c>
      <c r="D598" s="78">
        <v>26.0</v>
      </c>
      <c r="E598" s="164" t="s">
        <v>322</v>
      </c>
      <c r="F598" s="164" t="s">
        <v>285</v>
      </c>
      <c r="G598" s="146">
        <v>46005.0</v>
      </c>
      <c r="H598" s="159" t="s">
        <v>69</v>
      </c>
      <c r="I598" s="78" t="s">
        <v>340</v>
      </c>
    </row>
    <row r="599" ht="13.5" customHeight="1">
      <c r="A599" s="90">
        <v>595.0</v>
      </c>
      <c r="B599" s="146">
        <v>46004.0</v>
      </c>
      <c r="C599" s="78">
        <v>80.0</v>
      </c>
      <c r="D599" s="78">
        <v>46.0</v>
      </c>
      <c r="E599" s="164" t="s">
        <v>337</v>
      </c>
      <c r="F599" s="164" t="s">
        <v>285</v>
      </c>
      <c r="G599" s="146">
        <v>46005.0</v>
      </c>
      <c r="H599" s="159" t="s">
        <v>69</v>
      </c>
      <c r="I599" s="78" t="s">
        <v>377</v>
      </c>
    </row>
    <row r="600" ht="13.5" customHeight="1">
      <c r="A600" s="90">
        <v>596.0</v>
      </c>
      <c r="B600" s="146">
        <v>46004.0</v>
      </c>
      <c r="C600" s="164">
        <v>4.0</v>
      </c>
      <c r="D600" s="164">
        <v>61.0</v>
      </c>
      <c r="E600" s="164" t="s">
        <v>310</v>
      </c>
      <c r="F600" s="164" t="s">
        <v>309</v>
      </c>
      <c r="G600" s="146">
        <v>46004.0</v>
      </c>
      <c r="H600" s="159" t="s">
        <v>69</v>
      </c>
      <c r="I600" s="85"/>
    </row>
    <row r="601" ht="13.5" customHeight="1">
      <c r="A601" s="90">
        <v>597.0</v>
      </c>
      <c r="B601" s="146">
        <v>46004.0</v>
      </c>
      <c r="C601" s="164">
        <v>26.0</v>
      </c>
      <c r="D601" s="164">
        <v>94.0</v>
      </c>
      <c r="E601" s="164" t="s">
        <v>337</v>
      </c>
      <c r="F601" s="164" t="s">
        <v>309</v>
      </c>
      <c r="G601" s="146">
        <v>46004.0</v>
      </c>
      <c r="H601" s="159" t="s">
        <v>69</v>
      </c>
      <c r="I601" s="85"/>
    </row>
    <row r="602" ht="13.5" customHeight="1">
      <c r="A602" s="90">
        <v>598.0</v>
      </c>
      <c r="B602" s="146">
        <v>46004.0</v>
      </c>
      <c r="C602" s="164">
        <v>29.0</v>
      </c>
      <c r="D602" s="164">
        <v>33.0</v>
      </c>
      <c r="E602" s="164" t="s">
        <v>310</v>
      </c>
      <c r="F602" s="164" t="s">
        <v>309</v>
      </c>
      <c r="G602" s="146">
        <v>46004.0</v>
      </c>
      <c r="H602" s="159" t="s">
        <v>69</v>
      </c>
      <c r="I602" s="85"/>
    </row>
    <row r="603" ht="13.5" customHeight="1">
      <c r="A603" s="90">
        <v>599.0</v>
      </c>
      <c r="B603" s="146">
        <v>46004.0</v>
      </c>
      <c r="C603" s="164">
        <v>43.0</v>
      </c>
      <c r="D603" s="164">
        <v>18.0</v>
      </c>
      <c r="E603" s="164" t="s">
        <v>335</v>
      </c>
      <c r="F603" s="164" t="s">
        <v>309</v>
      </c>
      <c r="G603" s="146">
        <v>46004.0</v>
      </c>
      <c r="H603" s="159" t="s">
        <v>69</v>
      </c>
      <c r="I603" s="85"/>
    </row>
    <row r="604" ht="13.5" customHeight="1">
      <c r="A604" s="90">
        <v>600.0</v>
      </c>
      <c r="B604" s="146">
        <v>46004.0</v>
      </c>
      <c r="C604" s="164">
        <v>59.0</v>
      </c>
      <c r="D604" s="164">
        <v>71.0</v>
      </c>
      <c r="E604" s="164" t="s">
        <v>323</v>
      </c>
      <c r="F604" s="164" t="s">
        <v>309</v>
      </c>
      <c r="G604" s="146">
        <v>46004.0</v>
      </c>
      <c r="H604" s="159" t="s">
        <v>69</v>
      </c>
      <c r="I604" s="85"/>
    </row>
    <row r="605" ht="13.5" customHeight="1">
      <c r="A605" s="90">
        <v>601.0</v>
      </c>
      <c r="B605" s="146">
        <v>46004.0</v>
      </c>
      <c r="C605" s="164">
        <v>61.0</v>
      </c>
      <c r="D605" s="164">
        <v>61.0</v>
      </c>
      <c r="E605" s="164" t="s">
        <v>337</v>
      </c>
      <c r="F605" s="164" t="s">
        <v>309</v>
      </c>
      <c r="G605" s="146">
        <v>46004.0</v>
      </c>
      <c r="H605" s="159" t="s">
        <v>69</v>
      </c>
      <c r="I605" s="85"/>
    </row>
    <row r="606" ht="13.5" customHeight="1">
      <c r="A606" s="90">
        <v>602.0</v>
      </c>
      <c r="B606" s="146">
        <v>46004.0</v>
      </c>
      <c r="C606" s="164">
        <v>64.0</v>
      </c>
      <c r="D606" s="164">
        <v>20.0</v>
      </c>
      <c r="E606" s="164" t="s">
        <v>335</v>
      </c>
      <c r="F606" s="164" t="s">
        <v>309</v>
      </c>
      <c r="G606" s="146">
        <v>46004.0</v>
      </c>
      <c r="H606" s="159" t="s">
        <v>69</v>
      </c>
      <c r="I606" s="85"/>
    </row>
    <row r="607" ht="13.5" customHeight="1">
      <c r="A607" s="90">
        <v>603.0</v>
      </c>
      <c r="B607" s="146">
        <v>46004.0</v>
      </c>
      <c r="C607" s="164">
        <v>68.0</v>
      </c>
      <c r="D607" s="164">
        <v>137.0</v>
      </c>
      <c r="E607" s="164" t="s">
        <v>323</v>
      </c>
      <c r="F607" s="164" t="s">
        <v>309</v>
      </c>
      <c r="G607" s="146">
        <v>46004.0</v>
      </c>
      <c r="H607" s="159" t="s">
        <v>69</v>
      </c>
      <c r="I607" s="85"/>
    </row>
    <row r="608" ht="13.5" customHeight="1">
      <c r="A608" s="90">
        <v>604.0</v>
      </c>
      <c r="B608" s="146">
        <v>46004.0</v>
      </c>
      <c r="C608" s="164">
        <v>79.0</v>
      </c>
      <c r="D608" s="164">
        <v>63.0</v>
      </c>
      <c r="E608" s="164" t="s">
        <v>310</v>
      </c>
      <c r="F608" s="164" t="s">
        <v>309</v>
      </c>
      <c r="G608" s="146">
        <v>46004.0</v>
      </c>
      <c r="H608" s="159" t="s">
        <v>69</v>
      </c>
      <c r="I608" s="85"/>
    </row>
    <row r="609" ht="13.5" customHeight="1">
      <c r="A609" s="90">
        <v>605.0</v>
      </c>
      <c r="B609" s="146">
        <v>46004.0</v>
      </c>
      <c r="C609" s="164">
        <v>80.0</v>
      </c>
      <c r="D609" s="164">
        <v>95.0</v>
      </c>
      <c r="E609" s="164" t="s">
        <v>335</v>
      </c>
      <c r="F609" s="164" t="s">
        <v>309</v>
      </c>
      <c r="G609" s="146">
        <v>46004.0</v>
      </c>
      <c r="H609" s="159" t="s">
        <v>69</v>
      </c>
      <c r="I609" s="85"/>
    </row>
    <row r="610" ht="13.5" customHeight="1">
      <c r="A610" s="90">
        <v>606.0</v>
      </c>
      <c r="B610" s="146">
        <v>46004.0</v>
      </c>
      <c r="C610" s="164">
        <v>91.0</v>
      </c>
      <c r="D610" s="164">
        <v>36.0</v>
      </c>
      <c r="E610" s="164" t="s">
        <v>337</v>
      </c>
      <c r="F610" s="164" t="s">
        <v>309</v>
      </c>
      <c r="G610" s="146">
        <v>46004.0</v>
      </c>
      <c r="H610" s="159" t="s">
        <v>69</v>
      </c>
      <c r="I610" s="85"/>
    </row>
    <row r="611" ht="13.5" customHeight="1">
      <c r="A611" s="90">
        <v>607.0</v>
      </c>
      <c r="B611" s="146">
        <v>46004.0</v>
      </c>
      <c r="C611" s="164">
        <v>94.0</v>
      </c>
      <c r="D611" s="164">
        <v>67.0</v>
      </c>
      <c r="E611" s="164" t="s">
        <v>337</v>
      </c>
      <c r="F611" s="164" t="s">
        <v>309</v>
      </c>
      <c r="G611" s="146">
        <v>46004.0</v>
      </c>
      <c r="H611" s="159" t="s">
        <v>69</v>
      </c>
      <c r="I611" s="85"/>
    </row>
    <row r="612" ht="13.5" customHeight="1">
      <c r="A612" s="90">
        <v>608.0</v>
      </c>
      <c r="B612" s="146">
        <v>46004.0</v>
      </c>
      <c r="C612" s="164">
        <v>94.0</v>
      </c>
      <c r="D612" s="164">
        <v>137.0</v>
      </c>
      <c r="E612" s="164" t="s">
        <v>337</v>
      </c>
      <c r="F612" s="164" t="s">
        <v>309</v>
      </c>
      <c r="G612" s="146">
        <v>46004.0</v>
      </c>
      <c r="H612" s="159" t="s">
        <v>69</v>
      </c>
      <c r="I612" s="85"/>
    </row>
    <row r="613" ht="13.5" customHeight="1">
      <c r="A613" s="90">
        <v>609.0</v>
      </c>
      <c r="B613" s="146">
        <v>46004.0</v>
      </c>
      <c r="C613" s="164">
        <v>94.0</v>
      </c>
      <c r="D613" s="164">
        <v>139.0</v>
      </c>
      <c r="E613" s="164" t="s">
        <v>337</v>
      </c>
      <c r="F613" s="164" t="s">
        <v>309</v>
      </c>
      <c r="G613" s="146">
        <v>46004.0</v>
      </c>
      <c r="H613" s="159" t="s">
        <v>69</v>
      </c>
      <c r="I613" s="85"/>
    </row>
    <row r="614" ht="13.5" customHeight="1">
      <c r="A614" s="90">
        <v>610.0</v>
      </c>
      <c r="B614" s="146">
        <v>46004.0</v>
      </c>
      <c r="C614" s="164">
        <v>99.0</v>
      </c>
      <c r="D614" s="164">
        <v>2.0</v>
      </c>
      <c r="E614" s="164" t="s">
        <v>313</v>
      </c>
      <c r="F614" s="164" t="s">
        <v>309</v>
      </c>
      <c r="G614" s="146">
        <v>46004.0</v>
      </c>
      <c r="H614" s="159" t="s">
        <v>69</v>
      </c>
      <c r="I614" s="85"/>
    </row>
    <row r="615" ht="13.5" customHeight="1">
      <c r="A615" s="90">
        <v>611.0</v>
      </c>
      <c r="B615" s="146">
        <v>46004.0</v>
      </c>
      <c r="C615" s="164">
        <v>99.0</v>
      </c>
      <c r="D615" s="164">
        <v>4.0</v>
      </c>
      <c r="E615" s="164" t="s">
        <v>313</v>
      </c>
      <c r="F615" s="164" t="s">
        <v>309</v>
      </c>
      <c r="G615" s="146">
        <v>46004.0</v>
      </c>
      <c r="H615" s="159" t="s">
        <v>69</v>
      </c>
      <c r="I615" s="85"/>
    </row>
    <row r="616" ht="13.5" customHeight="1">
      <c r="A616" s="90">
        <v>612.0</v>
      </c>
      <c r="B616" s="146">
        <v>46004.0</v>
      </c>
      <c r="C616" s="164">
        <v>99.0</v>
      </c>
      <c r="D616" s="164">
        <v>6.0</v>
      </c>
      <c r="E616" s="164" t="s">
        <v>313</v>
      </c>
      <c r="F616" s="164" t="s">
        <v>309</v>
      </c>
      <c r="G616" s="146">
        <v>46004.0</v>
      </c>
      <c r="H616" s="159" t="s">
        <v>69</v>
      </c>
      <c r="I616" s="85"/>
    </row>
    <row r="617" ht="13.5" customHeight="1">
      <c r="A617" s="90">
        <v>613.0</v>
      </c>
      <c r="B617" s="146">
        <v>46004.0</v>
      </c>
      <c r="C617" s="164">
        <v>99.0</v>
      </c>
      <c r="D617" s="164">
        <v>8.0</v>
      </c>
      <c r="E617" s="164" t="s">
        <v>313</v>
      </c>
      <c r="F617" s="164" t="s">
        <v>309</v>
      </c>
      <c r="G617" s="146">
        <v>46004.0</v>
      </c>
      <c r="H617" s="159" t="s">
        <v>69</v>
      </c>
      <c r="I617" s="85"/>
    </row>
    <row r="618" ht="13.5" customHeight="1">
      <c r="A618" s="90">
        <v>614.0</v>
      </c>
      <c r="B618" s="146">
        <v>46004.0</v>
      </c>
      <c r="C618" s="164">
        <v>99.0</v>
      </c>
      <c r="D618" s="164">
        <v>10.0</v>
      </c>
      <c r="E618" s="164" t="s">
        <v>313</v>
      </c>
      <c r="F618" s="164" t="s">
        <v>309</v>
      </c>
      <c r="G618" s="146">
        <v>46004.0</v>
      </c>
      <c r="H618" s="159" t="s">
        <v>69</v>
      </c>
      <c r="I618" s="85"/>
    </row>
    <row r="619" ht="13.5" customHeight="1">
      <c r="A619" s="90">
        <v>615.0</v>
      </c>
      <c r="B619" s="146">
        <v>46004.0</v>
      </c>
      <c r="C619" s="164">
        <v>108.0</v>
      </c>
      <c r="D619" s="164">
        <v>18.0</v>
      </c>
      <c r="E619" s="164" t="s">
        <v>370</v>
      </c>
      <c r="F619" s="164" t="s">
        <v>309</v>
      </c>
      <c r="G619" s="146">
        <v>46004.0</v>
      </c>
      <c r="H619" s="159" t="s">
        <v>69</v>
      </c>
      <c r="I619" s="85"/>
    </row>
    <row r="620" ht="13.5" customHeight="1">
      <c r="A620" s="90">
        <v>616.0</v>
      </c>
      <c r="B620" s="146">
        <v>46004.0</v>
      </c>
      <c r="C620" s="164">
        <v>108.0</v>
      </c>
      <c r="D620" s="164">
        <v>20.0</v>
      </c>
      <c r="E620" s="164" t="s">
        <v>370</v>
      </c>
      <c r="F620" s="164" t="s">
        <v>309</v>
      </c>
      <c r="G620" s="146">
        <v>46004.0</v>
      </c>
      <c r="H620" s="159" t="s">
        <v>69</v>
      </c>
      <c r="I620" s="85"/>
    </row>
    <row r="621" ht="13.5" customHeight="1">
      <c r="A621" s="90">
        <v>617.0</v>
      </c>
      <c r="B621" s="146">
        <v>46004.0</v>
      </c>
      <c r="C621" s="164">
        <v>111.0</v>
      </c>
      <c r="D621" s="164">
        <v>95.0</v>
      </c>
      <c r="E621" s="164" t="s">
        <v>370</v>
      </c>
      <c r="F621" s="164" t="s">
        <v>309</v>
      </c>
      <c r="G621" s="146">
        <v>46004.0</v>
      </c>
      <c r="H621" s="159" t="s">
        <v>69</v>
      </c>
      <c r="I621" s="85"/>
    </row>
    <row r="622" ht="13.5" customHeight="1">
      <c r="A622" s="90">
        <v>618.0</v>
      </c>
      <c r="B622" s="146">
        <v>46004.0</v>
      </c>
      <c r="C622" s="164">
        <v>112.0</v>
      </c>
      <c r="D622" s="164">
        <v>130.0</v>
      </c>
      <c r="E622" s="164" t="s">
        <v>337</v>
      </c>
      <c r="F622" s="164" t="s">
        <v>309</v>
      </c>
      <c r="G622" s="146">
        <v>46004.0</v>
      </c>
      <c r="H622" s="159" t="s">
        <v>69</v>
      </c>
      <c r="I622" s="85"/>
    </row>
    <row r="623" ht="13.5" customHeight="1">
      <c r="A623" s="90">
        <v>619.0</v>
      </c>
      <c r="B623" s="146">
        <v>46004.0</v>
      </c>
      <c r="C623" s="164">
        <v>112.0</v>
      </c>
      <c r="D623" s="164">
        <v>132.0</v>
      </c>
      <c r="E623" s="164" t="s">
        <v>337</v>
      </c>
      <c r="F623" s="164" t="s">
        <v>309</v>
      </c>
      <c r="G623" s="146">
        <v>46004.0</v>
      </c>
      <c r="H623" s="159" t="s">
        <v>69</v>
      </c>
      <c r="I623" s="85"/>
    </row>
    <row r="624" ht="13.5" customHeight="1">
      <c r="A624" s="90">
        <v>620.0</v>
      </c>
      <c r="B624" s="146">
        <v>46004.0</v>
      </c>
      <c r="C624" s="164">
        <v>114.0</v>
      </c>
      <c r="D624" s="164">
        <v>113.0</v>
      </c>
      <c r="E624" s="164" t="s">
        <v>337</v>
      </c>
      <c r="F624" s="164" t="s">
        <v>309</v>
      </c>
      <c r="G624" s="146">
        <v>46004.0</v>
      </c>
      <c r="H624" s="159" t="s">
        <v>69</v>
      </c>
      <c r="I624" s="85"/>
    </row>
    <row r="625" ht="13.5" customHeight="1">
      <c r="A625" s="90">
        <v>621.0</v>
      </c>
      <c r="B625" s="146">
        <v>46004.0</v>
      </c>
      <c r="C625" s="164">
        <v>121.0</v>
      </c>
      <c r="D625" s="164">
        <v>48.0</v>
      </c>
      <c r="E625" s="164" t="s">
        <v>310</v>
      </c>
      <c r="F625" s="164" t="s">
        <v>309</v>
      </c>
      <c r="G625" s="146">
        <v>46004.0</v>
      </c>
      <c r="H625" s="159" t="s">
        <v>69</v>
      </c>
      <c r="I625" s="85"/>
    </row>
    <row r="626" ht="13.5" customHeight="1">
      <c r="A626" s="90">
        <v>622.0</v>
      </c>
      <c r="B626" s="146">
        <v>46004.0</v>
      </c>
      <c r="C626" s="164">
        <v>121.0</v>
      </c>
      <c r="D626" s="164">
        <v>50.0</v>
      </c>
      <c r="E626" s="164" t="s">
        <v>337</v>
      </c>
      <c r="F626" s="164" t="s">
        <v>309</v>
      </c>
      <c r="G626" s="146">
        <v>46004.0</v>
      </c>
      <c r="H626" s="159" t="s">
        <v>69</v>
      </c>
      <c r="I626" s="85"/>
    </row>
    <row r="627" ht="13.5" customHeight="1">
      <c r="A627" s="90">
        <v>623.0</v>
      </c>
      <c r="B627" s="146">
        <v>46004.0</v>
      </c>
      <c r="C627" s="164">
        <v>121.0</v>
      </c>
      <c r="D627" s="164">
        <v>125.0</v>
      </c>
      <c r="E627" s="164" t="s">
        <v>337</v>
      </c>
      <c r="F627" s="164" t="s">
        <v>309</v>
      </c>
      <c r="G627" s="146">
        <v>46004.0</v>
      </c>
      <c r="H627" s="159" t="s">
        <v>69</v>
      </c>
      <c r="I627" s="85"/>
    </row>
    <row r="628" ht="13.5" customHeight="1">
      <c r="A628" s="90">
        <v>624.0</v>
      </c>
      <c r="B628" s="146">
        <v>46005.0</v>
      </c>
      <c r="C628" s="164">
        <v>22.0</v>
      </c>
      <c r="D628" s="164">
        <v>98.0</v>
      </c>
      <c r="E628" s="164" t="s">
        <v>337</v>
      </c>
      <c r="F628" s="78" t="s">
        <v>328</v>
      </c>
      <c r="G628" s="146">
        <v>46008.0</v>
      </c>
      <c r="H628" s="159" t="s">
        <v>69</v>
      </c>
      <c r="I628" s="78" t="s">
        <v>327</v>
      </c>
    </row>
    <row r="629" ht="13.5" customHeight="1">
      <c r="A629" s="90">
        <v>625.0</v>
      </c>
      <c r="B629" s="146">
        <v>46005.0</v>
      </c>
      <c r="C629" s="164">
        <v>36.0</v>
      </c>
      <c r="D629" s="164">
        <v>39.0</v>
      </c>
      <c r="E629" s="164" t="s">
        <v>322</v>
      </c>
      <c r="F629" s="78" t="s">
        <v>314</v>
      </c>
      <c r="G629" s="146">
        <v>46006.0</v>
      </c>
      <c r="H629" s="159" t="s">
        <v>69</v>
      </c>
      <c r="I629" s="78" t="s">
        <v>332</v>
      </c>
    </row>
    <row r="630" ht="13.5" customHeight="1">
      <c r="A630" s="90">
        <v>626.0</v>
      </c>
      <c r="B630" s="146">
        <v>46005.0</v>
      </c>
      <c r="C630" s="164">
        <v>58.0</v>
      </c>
      <c r="D630" s="164">
        <v>76.0</v>
      </c>
      <c r="E630" s="164" t="s">
        <v>322</v>
      </c>
      <c r="F630" s="78" t="s">
        <v>285</v>
      </c>
      <c r="G630" s="166">
        <v>46023.0</v>
      </c>
      <c r="H630" s="159" t="s">
        <v>69</v>
      </c>
      <c r="I630" s="78" t="s">
        <v>378</v>
      </c>
    </row>
    <row r="631" ht="13.5" customHeight="1">
      <c r="A631" s="90">
        <v>627.0</v>
      </c>
      <c r="B631" s="146">
        <v>46005.0</v>
      </c>
      <c r="C631" s="164">
        <v>7.0</v>
      </c>
      <c r="D631" s="164">
        <v>87.0</v>
      </c>
      <c r="E631" s="164" t="s">
        <v>335</v>
      </c>
      <c r="F631" s="164" t="s">
        <v>309</v>
      </c>
      <c r="G631" s="146">
        <v>46005.0</v>
      </c>
      <c r="H631" s="159" t="s">
        <v>69</v>
      </c>
      <c r="I631" s="85"/>
    </row>
    <row r="632" ht="13.5" customHeight="1">
      <c r="A632" s="90">
        <v>628.0</v>
      </c>
      <c r="B632" s="146">
        <v>46005.0</v>
      </c>
      <c r="C632" s="164">
        <v>80.0</v>
      </c>
      <c r="D632" s="164">
        <v>95.0</v>
      </c>
      <c r="E632" s="164" t="s">
        <v>335</v>
      </c>
      <c r="F632" s="164" t="s">
        <v>309</v>
      </c>
      <c r="G632" s="146">
        <v>46005.0</v>
      </c>
      <c r="H632" s="159" t="s">
        <v>69</v>
      </c>
      <c r="I632" s="85"/>
    </row>
    <row r="633" ht="13.5" customHeight="1">
      <c r="A633" s="90">
        <v>629.0</v>
      </c>
      <c r="B633" s="146">
        <v>46005.0</v>
      </c>
      <c r="C633" s="164">
        <v>87.0</v>
      </c>
      <c r="D633" s="164">
        <v>71.0</v>
      </c>
      <c r="E633" s="164" t="s">
        <v>323</v>
      </c>
      <c r="F633" s="164" t="s">
        <v>309</v>
      </c>
      <c r="G633" s="146">
        <v>46005.0</v>
      </c>
      <c r="H633" s="159" t="s">
        <v>69</v>
      </c>
      <c r="I633" s="85"/>
    </row>
    <row r="634" ht="13.5" customHeight="1">
      <c r="A634" s="90">
        <v>630.0</v>
      </c>
      <c r="B634" s="146">
        <v>46005.0</v>
      </c>
      <c r="C634" s="164">
        <v>91.0</v>
      </c>
      <c r="D634" s="164">
        <v>36.0</v>
      </c>
      <c r="E634" s="164" t="s">
        <v>323</v>
      </c>
      <c r="F634" s="164" t="s">
        <v>309</v>
      </c>
      <c r="G634" s="146">
        <v>46005.0</v>
      </c>
      <c r="H634" s="159" t="s">
        <v>69</v>
      </c>
      <c r="I634" s="85"/>
    </row>
    <row r="635" ht="13.5" customHeight="1">
      <c r="A635" s="90">
        <v>631.0</v>
      </c>
      <c r="B635" s="146">
        <v>46005.0</v>
      </c>
      <c r="C635" s="164">
        <v>99.0</v>
      </c>
      <c r="D635" s="164">
        <v>9.0</v>
      </c>
      <c r="E635" s="164" t="s">
        <v>335</v>
      </c>
      <c r="F635" s="164" t="s">
        <v>309</v>
      </c>
      <c r="G635" s="146">
        <v>46005.0</v>
      </c>
      <c r="H635" s="159" t="s">
        <v>69</v>
      </c>
      <c r="I635" s="85"/>
    </row>
    <row r="636" ht="13.5" customHeight="1">
      <c r="A636" s="90">
        <v>632.0</v>
      </c>
      <c r="B636" s="146">
        <v>46005.0</v>
      </c>
      <c r="C636" s="164">
        <v>99.0</v>
      </c>
      <c r="D636" s="164">
        <v>115.0</v>
      </c>
      <c r="E636" s="164" t="s">
        <v>323</v>
      </c>
      <c r="F636" s="164" t="s">
        <v>309</v>
      </c>
      <c r="G636" s="146">
        <v>46005.0</v>
      </c>
      <c r="H636" s="159" t="s">
        <v>69</v>
      </c>
      <c r="I636" s="85"/>
    </row>
    <row r="637" ht="13.5" customHeight="1">
      <c r="A637" s="90">
        <v>633.0</v>
      </c>
      <c r="B637" s="146">
        <v>46005.0</v>
      </c>
      <c r="C637" s="164">
        <v>99.0</v>
      </c>
      <c r="D637" s="164">
        <v>125.0</v>
      </c>
      <c r="E637" s="164" t="s">
        <v>313</v>
      </c>
      <c r="F637" s="164" t="s">
        <v>309</v>
      </c>
      <c r="G637" s="146">
        <v>46005.0</v>
      </c>
      <c r="H637" s="159" t="s">
        <v>69</v>
      </c>
      <c r="I637" s="85"/>
    </row>
    <row r="638" ht="13.5" customHeight="1">
      <c r="A638" s="90">
        <v>634.0</v>
      </c>
      <c r="B638" s="146">
        <v>46005.0</v>
      </c>
      <c r="C638" s="164">
        <v>126.0</v>
      </c>
      <c r="D638" s="164">
        <v>9.0</v>
      </c>
      <c r="E638" s="164" t="s">
        <v>323</v>
      </c>
      <c r="F638" s="164" t="s">
        <v>309</v>
      </c>
      <c r="G638" s="146">
        <v>46005.0</v>
      </c>
      <c r="H638" s="159" t="s">
        <v>69</v>
      </c>
      <c r="I638" s="85"/>
    </row>
    <row r="639" ht="13.5" customHeight="1">
      <c r="A639" s="90">
        <v>635.0</v>
      </c>
      <c r="B639" s="146">
        <v>46006.0</v>
      </c>
      <c r="C639" s="164">
        <v>58.0</v>
      </c>
      <c r="D639" s="164">
        <v>26.0</v>
      </c>
      <c r="E639" s="164" t="s">
        <v>322</v>
      </c>
      <c r="F639" s="164" t="s">
        <v>285</v>
      </c>
      <c r="G639" s="146">
        <v>46010.0</v>
      </c>
      <c r="H639" s="159" t="s">
        <v>69</v>
      </c>
      <c r="I639" s="164" t="s">
        <v>340</v>
      </c>
    </row>
    <row r="640" ht="13.5" customHeight="1">
      <c r="A640" s="90">
        <v>636.0</v>
      </c>
      <c r="B640" s="146">
        <v>46006.0</v>
      </c>
      <c r="C640" s="164">
        <v>58.0</v>
      </c>
      <c r="D640" s="164">
        <v>87.0</v>
      </c>
      <c r="E640" s="164" t="s">
        <v>337</v>
      </c>
      <c r="F640" s="164" t="s">
        <v>309</v>
      </c>
      <c r="G640" s="146">
        <v>46006.0</v>
      </c>
      <c r="H640" s="159" t="s">
        <v>69</v>
      </c>
      <c r="I640" s="164"/>
    </row>
    <row r="641" ht="13.5" customHeight="1">
      <c r="A641" s="90">
        <v>637.0</v>
      </c>
      <c r="B641" s="146">
        <v>46006.0</v>
      </c>
      <c r="C641" s="164">
        <v>64.0</v>
      </c>
      <c r="D641" s="164">
        <v>20.0</v>
      </c>
      <c r="E641" s="164" t="s">
        <v>310</v>
      </c>
      <c r="F641" s="164" t="s">
        <v>285</v>
      </c>
      <c r="G641" s="146">
        <v>46009.0</v>
      </c>
      <c r="H641" s="159" t="s">
        <v>69</v>
      </c>
      <c r="I641" s="164" t="s">
        <v>340</v>
      </c>
    </row>
    <row r="642" ht="13.5" customHeight="1">
      <c r="A642" s="90">
        <v>638.0</v>
      </c>
      <c r="B642" s="146">
        <v>46006.0</v>
      </c>
      <c r="C642" s="164">
        <v>126.0</v>
      </c>
      <c r="D642" s="164">
        <v>39.0</v>
      </c>
      <c r="E642" s="164" t="s">
        <v>323</v>
      </c>
      <c r="F642" s="164" t="s">
        <v>328</v>
      </c>
      <c r="G642" s="146">
        <v>46012.0</v>
      </c>
      <c r="H642" s="159" t="s">
        <v>69</v>
      </c>
      <c r="I642" s="164" t="s">
        <v>319</v>
      </c>
    </row>
    <row r="643" ht="13.5" customHeight="1">
      <c r="A643" s="90">
        <v>639.0</v>
      </c>
      <c r="B643" s="146">
        <v>46006.0</v>
      </c>
      <c r="C643" s="164">
        <v>13.0</v>
      </c>
      <c r="D643" s="164">
        <v>104.0</v>
      </c>
      <c r="E643" s="164" t="s">
        <v>337</v>
      </c>
      <c r="F643" s="164" t="s">
        <v>309</v>
      </c>
      <c r="G643" s="146">
        <v>46006.0</v>
      </c>
      <c r="H643" s="159" t="s">
        <v>69</v>
      </c>
      <c r="I643" s="85"/>
    </row>
    <row r="644" ht="13.5" customHeight="1">
      <c r="A644" s="90">
        <v>640.0</v>
      </c>
      <c r="B644" s="146">
        <v>46006.0</v>
      </c>
      <c r="C644" s="164">
        <v>28.0</v>
      </c>
      <c r="D644" s="164">
        <v>103.0</v>
      </c>
      <c r="E644" s="164" t="s">
        <v>337</v>
      </c>
      <c r="F644" s="164" t="s">
        <v>309</v>
      </c>
      <c r="G644" s="146">
        <v>46006.0</v>
      </c>
      <c r="H644" s="159" t="s">
        <v>69</v>
      </c>
      <c r="I644" s="85"/>
    </row>
    <row r="645" ht="13.5" customHeight="1">
      <c r="A645" s="90">
        <v>641.0</v>
      </c>
      <c r="B645" s="146">
        <v>46006.0</v>
      </c>
      <c r="C645" s="164">
        <v>33.0</v>
      </c>
      <c r="D645" s="164">
        <v>71.0</v>
      </c>
      <c r="E645" s="164" t="s">
        <v>337</v>
      </c>
      <c r="F645" s="164" t="s">
        <v>309</v>
      </c>
      <c r="G645" s="146">
        <v>46006.0</v>
      </c>
      <c r="H645" s="159" t="s">
        <v>69</v>
      </c>
      <c r="I645" s="85"/>
    </row>
    <row r="646" ht="13.5" customHeight="1">
      <c r="A646" s="90">
        <v>642.0</v>
      </c>
      <c r="B646" s="146">
        <v>46006.0</v>
      </c>
      <c r="C646" s="164">
        <v>42.0</v>
      </c>
      <c r="D646" s="164">
        <v>31.0</v>
      </c>
      <c r="E646" s="164" t="s">
        <v>337</v>
      </c>
      <c r="F646" s="164" t="s">
        <v>309</v>
      </c>
      <c r="G646" s="146">
        <v>46006.0</v>
      </c>
      <c r="H646" s="159" t="s">
        <v>69</v>
      </c>
      <c r="I646" s="85"/>
    </row>
    <row r="647" ht="13.5" customHeight="1">
      <c r="A647" s="90">
        <v>643.0</v>
      </c>
      <c r="B647" s="146">
        <v>46006.0</v>
      </c>
      <c r="C647" s="164">
        <v>54.0</v>
      </c>
      <c r="D647" s="164">
        <v>104.0</v>
      </c>
      <c r="E647" s="164" t="s">
        <v>337</v>
      </c>
      <c r="F647" s="164" t="s">
        <v>309</v>
      </c>
      <c r="G647" s="146">
        <v>46006.0</v>
      </c>
      <c r="H647" s="159" t="s">
        <v>69</v>
      </c>
      <c r="I647" s="85"/>
    </row>
    <row r="648" ht="13.5" customHeight="1">
      <c r="A648" s="90">
        <v>644.0</v>
      </c>
      <c r="B648" s="146">
        <v>46006.0</v>
      </c>
      <c r="C648" s="164">
        <v>66.0</v>
      </c>
      <c r="D648" s="164">
        <v>132.0</v>
      </c>
      <c r="E648" s="164" t="s">
        <v>323</v>
      </c>
      <c r="F648" s="164" t="s">
        <v>309</v>
      </c>
      <c r="G648" s="146">
        <v>46006.0</v>
      </c>
      <c r="H648" s="159" t="s">
        <v>69</v>
      </c>
      <c r="I648" s="85"/>
    </row>
    <row r="649" ht="13.5" customHeight="1">
      <c r="A649" s="90">
        <v>645.0</v>
      </c>
      <c r="B649" s="146">
        <v>46006.0</v>
      </c>
      <c r="C649" s="164">
        <v>70.0</v>
      </c>
      <c r="D649" s="164">
        <v>63.0</v>
      </c>
      <c r="E649" s="164" t="s">
        <v>337</v>
      </c>
      <c r="F649" s="164" t="s">
        <v>309</v>
      </c>
      <c r="G649" s="146">
        <v>46006.0</v>
      </c>
      <c r="H649" s="159" t="s">
        <v>69</v>
      </c>
      <c r="I649" s="85"/>
    </row>
    <row r="650" ht="13.5" customHeight="1">
      <c r="A650" s="90">
        <v>646.0</v>
      </c>
      <c r="B650" s="146">
        <v>46006.0</v>
      </c>
      <c r="C650" s="164">
        <v>79.0</v>
      </c>
      <c r="D650" s="164">
        <v>84.0</v>
      </c>
      <c r="E650" s="164" t="s">
        <v>323</v>
      </c>
      <c r="F650" s="164" t="s">
        <v>309</v>
      </c>
      <c r="G650" s="146">
        <v>46006.0</v>
      </c>
      <c r="H650" s="159" t="s">
        <v>69</v>
      </c>
      <c r="I650" s="85"/>
    </row>
    <row r="651" ht="13.5" customHeight="1">
      <c r="A651" s="90">
        <v>647.0</v>
      </c>
      <c r="B651" s="146">
        <v>46006.0</v>
      </c>
      <c r="C651" s="164">
        <v>80.0</v>
      </c>
      <c r="D651" s="164">
        <v>46.0</v>
      </c>
      <c r="E651" s="164" t="s">
        <v>323</v>
      </c>
      <c r="F651" s="164" t="s">
        <v>309</v>
      </c>
      <c r="G651" s="146">
        <v>46006.0</v>
      </c>
      <c r="H651" s="159" t="s">
        <v>69</v>
      </c>
      <c r="I651" s="85"/>
    </row>
    <row r="652" ht="13.5" customHeight="1">
      <c r="A652" s="90">
        <v>648.0</v>
      </c>
      <c r="B652" s="146">
        <v>46006.0</v>
      </c>
      <c r="C652" s="164">
        <v>80.0</v>
      </c>
      <c r="D652" s="164">
        <v>95.0</v>
      </c>
      <c r="E652" s="164" t="s">
        <v>335</v>
      </c>
      <c r="F652" s="164" t="s">
        <v>309</v>
      </c>
      <c r="G652" s="146">
        <v>46006.0</v>
      </c>
      <c r="H652" s="159" t="s">
        <v>69</v>
      </c>
      <c r="I652" s="85"/>
    </row>
    <row r="653" ht="13.5" customHeight="1">
      <c r="A653" s="90">
        <v>649.0</v>
      </c>
      <c r="B653" s="146">
        <v>46006.0</v>
      </c>
      <c r="C653" s="164">
        <v>87.0</v>
      </c>
      <c r="D653" s="164">
        <v>28.0</v>
      </c>
      <c r="E653" s="164" t="s">
        <v>335</v>
      </c>
      <c r="F653" s="164" t="s">
        <v>309</v>
      </c>
      <c r="G653" s="146">
        <v>46006.0</v>
      </c>
      <c r="H653" s="159" t="s">
        <v>69</v>
      </c>
      <c r="I653" s="85"/>
    </row>
    <row r="654" ht="13.5" customHeight="1">
      <c r="A654" s="90">
        <v>650.0</v>
      </c>
      <c r="B654" s="146">
        <v>46006.0</v>
      </c>
      <c r="C654" s="164">
        <v>90.0</v>
      </c>
      <c r="D654" s="164">
        <v>99.0</v>
      </c>
      <c r="E654" s="164" t="s">
        <v>323</v>
      </c>
      <c r="F654" s="164" t="s">
        <v>309</v>
      </c>
      <c r="G654" s="146">
        <v>46006.0</v>
      </c>
      <c r="H654" s="159" t="s">
        <v>69</v>
      </c>
      <c r="I654" s="85"/>
    </row>
    <row r="655" ht="13.5" customHeight="1">
      <c r="A655" s="90">
        <v>651.0</v>
      </c>
      <c r="B655" s="146">
        <v>46006.0</v>
      </c>
      <c r="C655" s="164">
        <v>99.0</v>
      </c>
      <c r="D655" s="164">
        <v>1.0</v>
      </c>
      <c r="E655" s="164" t="s">
        <v>337</v>
      </c>
      <c r="F655" s="164" t="s">
        <v>309</v>
      </c>
      <c r="G655" s="146">
        <v>46006.0</v>
      </c>
      <c r="H655" s="159" t="s">
        <v>69</v>
      </c>
      <c r="I655" s="85"/>
    </row>
    <row r="656" ht="13.5" customHeight="1">
      <c r="A656" s="90">
        <v>652.0</v>
      </c>
      <c r="B656" s="146">
        <v>46006.0</v>
      </c>
      <c r="C656" s="164">
        <v>99.0</v>
      </c>
      <c r="D656" s="164">
        <v>5.0</v>
      </c>
      <c r="E656" s="164" t="s">
        <v>337</v>
      </c>
      <c r="F656" s="164" t="s">
        <v>309</v>
      </c>
      <c r="G656" s="146">
        <v>46006.0</v>
      </c>
      <c r="H656" s="159" t="s">
        <v>69</v>
      </c>
      <c r="I656" s="85"/>
    </row>
    <row r="657" ht="13.5" customHeight="1">
      <c r="A657" s="90">
        <v>653.0</v>
      </c>
      <c r="B657" s="146">
        <v>46007.0</v>
      </c>
      <c r="C657" s="78">
        <v>26.0</v>
      </c>
      <c r="D657" s="78">
        <v>93.0</v>
      </c>
      <c r="E657" s="164" t="s">
        <v>323</v>
      </c>
      <c r="F657" s="78" t="s">
        <v>285</v>
      </c>
      <c r="G657" s="146">
        <v>46017.0</v>
      </c>
      <c r="H657" s="159" t="s">
        <v>69</v>
      </c>
      <c r="I657" s="78" t="s">
        <v>377</v>
      </c>
    </row>
    <row r="658" ht="13.5" customHeight="1">
      <c r="A658" s="90">
        <v>654.0</v>
      </c>
      <c r="B658" s="146">
        <v>46007.0</v>
      </c>
      <c r="C658" s="78">
        <v>129.0</v>
      </c>
      <c r="D658" s="78">
        <v>76.0</v>
      </c>
      <c r="E658" s="164" t="s">
        <v>310</v>
      </c>
      <c r="F658" s="164" t="s">
        <v>314</v>
      </c>
      <c r="G658" s="146">
        <v>46008.0</v>
      </c>
      <c r="H658" s="159" t="s">
        <v>69</v>
      </c>
      <c r="I658" s="78" t="s">
        <v>333</v>
      </c>
    </row>
    <row r="659" ht="13.5" customHeight="1">
      <c r="A659" s="90">
        <v>655.0</v>
      </c>
      <c r="B659" s="146">
        <v>46007.0</v>
      </c>
      <c r="C659" s="164">
        <v>10.0</v>
      </c>
      <c r="D659" s="164">
        <v>69.0</v>
      </c>
      <c r="E659" s="164" t="s">
        <v>322</v>
      </c>
      <c r="F659" s="164" t="s">
        <v>379</v>
      </c>
      <c r="G659" s="146">
        <v>46007.0</v>
      </c>
      <c r="H659" s="159" t="s">
        <v>69</v>
      </c>
      <c r="I659" s="85"/>
    </row>
    <row r="660" ht="13.5" customHeight="1">
      <c r="A660" s="90">
        <v>656.0</v>
      </c>
      <c r="B660" s="146">
        <v>46007.0</v>
      </c>
      <c r="C660" s="164">
        <v>28.0</v>
      </c>
      <c r="D660" s="164">
        <v>103.0</v>
      </c>
      <c r="E660" s="164" t="s">
        <v>323</v>
      </c>
      <c r="F660" s="164" t="s">
        <v>309</v>
      </c>
      <c r="G660" s="146">
        <v>46007.0</v>
      </c>
      <c r="H660" s="159" t="s">
        <v>69</v>
      </c>
      <c r="I660" s="85"/>
    </row>
    <row r="661" ht="13.5" customHeight="1">
      <c r="A661" s="90">
        <v>657.0</v>
      </c>
      <c r="B661" s="146">
        <v>46007.0</v>
      </c>
      <c r="C661" s="164">
        <v>37.0</v>
      </c>
      <c r="D661" s="164">
        <v>124.0</v>
      </c>
      <c r="E661" s="164" t="s">
        <v>310</v>
      </c>
      <c r="F661" s="164" t="s">
        <v>309</v>
      </c>
      <c r="G661" s="146">
        <v>46007.0</v>
      </c>
      <c r="H661" s="159" t="s">
        <v>69</v>
      </c>
      <c r="I661" s="85"/>
    </row>
    <row r="662" ht="13.5" customHeight="1">
      <c r="A662" s="90">
        <v>658.0</v>
      </c>
      <c r="B662" s="146">
        <v>46007.0</v>
      </c>
      <c r="C662" s="164">
        <v>42.0</v>
      </c>
      <c r="D662" s="164">
        <v>31.0</v>
      </c>
      <c r="E662" s="164" t="s">
        <v>323</v>
      </c>
      <c r="F662" s="164" t="s">
        <v>309</v>
      </c>
      <c r="G662" s="146">
        <v>46007.0</v>
      </c>
      <c r="H662" s="159" t="s">
        <v>69</v>
      </c>
      <c r="I662" s="85"/>
    </row>
    <row r="663" ht="13.5" customHeight="1">
      <c r="A663" s="90">
        <v>659.0</v>
      </c>
      <c r="B663" s="146">
        <v>46007.0</v>
      </c>
      <c r="C663" s="164">
        <v>56.0</v>
      </c>
      <c r="D663" s="164">
        <v>49.0</v>
      </c>
      <c r="E663" s="164" t="s">
        <v>323</v>
      </c>
      <c r="F663" s="164" t="s">
        <v>309</v>
      </c>
      <c r="G663" s="146">
        <v>46007.0</v>
      </c>
      <c r="H663" s="159" t="s">
        <v>69</v>
      </c>
      <c r="I663" s="85"/>
    </row>
    <row r="664" ht="13.5" customHeight="1">
      <c r="A664" s="90">
        <v>660.0</v>
      </c>
      <c r="B664" s="146">
        <v>46007.0</v>
      </c>
      <c r="C664" s="164">
        <v>70.0</v>
      </c>
      <c r="D664" s="164">
        <v>63.0</v>
      </c>
      <c r="E664" s="164" t="s">
        <v>323</v>
      </c>
      <c r="F664" s="164" t="s">
        <v>309</v>
      </c>
      <c r="G664" s="146">
        <v>46007.0</v>
      </c>
      <c r="H664" s="159" t="s">
        <v>69</v>
      </c>
      <c r="I664" s="85"/>
    </row>
    <row r="665" ht="13.5" customHeight="1">
      <c r="A665" s="90">
        <v>661.0</v>
      </c>
      <c r="B665" s="146">
        <v>46007.0</v>
      </c>
      <c r="C665" s="164">
        <v>74.0</v>
      </c>
      <c r="D665" s="164">
        <v>52.0</v>
      </c>
      <c r="E665" s="164" t="s">
        <v>323</v>
      </c>
      <c r="F665" s="164" t="s">
        <v>309</v>
      </c>
      <c r="G665" s="146">
        <v>46007.0</v>
      </c>
      <c r="H665" s="159" t="s">
        <v>69</v>
      </c>
      <c r="I665" s="85"/>
    </row>
    <row r="666" ht="13.5" customHeight="1">
      <c r="A666" s="90">
        <v>662.0</v>
      </c>
      <c r="B666" s="146">
        <v>46007.0</v>
      </c>
      <c r="C666" s="164">
        <v>79.0</v>
      </c>
      <c r="D666" s="164">
        <v>84.0</v>
      </c>
      <c r="E666" s="164" t="s">
        <v>323</v>
      </c>
      <c r="F666" s="164" t="s">
        <v>309</v>
      </c>
      <c r="G666" s="146">
        <v>46007.0</v>
      </c>
      <c r="H666" s="159" t="s">
        <v>69</v>
      </c>
      <c r="I666" s="85"/>
    </row>
    <row r="667" ht="13.5" customHeight="1">
      <c r="A667" s="90">
        <v>663.0</v>
      </c>
      <c r="B667" s="146">
        <v>46007.0</v>
      </c>
      <c r="C667" s="164">
        <v>80.0</v>
      </c>
      <c r="D667" s="164">
        <v>95.0</v>
      </c>
      <c r="E667" s="164" t="s">
        <v>335</v>
      </c>
      <c r="F667" s="164" t="s">
        <v>309</v>
      </c>
      <c r="G667" s="146">
        <v>46007.0</v>
      </c>
      <c r="H667" s="159" t="s">
        <v>69</v>
      </c>
      <c r="I667" s="85"/>
    </row>
    <row r="668" ht="13.5" customHeight="1">
      <c r="A668" s="90">
        <v>664.0</v>
      </c>
      <c r="B668" s="146">
        <v>46007.0</v>
      </c>
      <c r="C668" s="164">
        <v>87.0</v>
      </c>
      <c r="D668" s="164">
        <v>18.0</v>
      </c>
      <c r="E668" s="164" t="s">
        <v>335</v>
      </c>
      <c r="F668" s="164" t="s">
        <v>309</v>
      </c>
      <c r="G668" s="146">
        <v>46007.0</v>
      </c>
      <c r="H668" s="159" t="s">
        <v>69</v>
      </c>
      <c r="I668" s="85"/>
    </row>
    <row r="669" ht="13.5" customHeight="1">
      <c r="A669" s="90">
        <v>665.0</v>
      </c>
      <c r="B669" s="146">
        <v>46007.0</v>
      </c>
      <c r="C669" s="164">
        <v>87.0</v>
      </c>
      <c r="D669" s="164">
        <v>118.0</v>
      </c>
      <c r="E669" s="164" t="s">
        <v>335</v>
      </c>
      <c r="F669" s="164" t="s">
        <v>309</v>
      </c>
      <c r="G669" s="146">
        <v>46007.0</v>
      </c>
      <c r="H669" s="159" t="s">
        <v>69</v>
      </c>
      <c r="I669" s="85"/>
    </row>
    <row r="670" ht="13.5" customHeight="1">
      <c r="A670" s="90">
        <v>666.0</v>
      </c>
      <c r="B670" s="146">
        <v>46007.0</v>
      </c>
      <c r="C670" s="164">
        <v>99.0</v>
      </c>
      <c r="D670" s="164">
        <v>107.0</v>
      </c>
      <c r="E670" s="164" t="s">
        <v>323</v>
      </c>
      <c r="F670" s="164" t="s">
        <v>309</v>
      </c>
      <c r="G670" s="146">
        <v>46007.0</v>
      </c>
      <c r="H670" s="159" t="s">
        <v>69</v>
      </c>
      <c r="I670" s="85"/>
    </row>
    <row r="671" ht="13.5" customHeight="1">
      <c r="A671" s="90">
        <v>667.0</v>
      </c>
      <c r="B671" s="146">
        <v>46007.0</v>
      </c>
      <c r="C671" s="164">
        <v>99.0</v>
      </c>
      <c r="D671" s="164">
        <v>136.0</v>
      </c>
      <c r="E671" s="164" t="s">
        <v>323</v>
      </c>
      <c r="F671" s="164" t="s">
        <v>309</v>
      </c>
      <c r="G671" s="146">
        <v>46007.0</v>
      </c>
      <c r="H671" s="159" t="s">
        <v>69</v>
      </c>
      <c r="I671" s="85"/>
    </row>
    <row r="672" ht="13.5" customHeight="1">
      <c r="A672" s="90">
        <v>668.0</v>
      </c>
      <c r="B672" s="146">
        <v>46007.0</v>
      </c>
      <c r="C672" s="164">
        <v>101.0</v>
      </c>
      <c r="D672" s="164">
        <v>105.0</v>
      </c>
      <c r="E672" s="164" t="s">
        <v>323</v>
      </c>
      <c r="F672" s="164" t="s">
        <v>309</v>
      </c>
      <c r="G672" s="146">
        <v>46007.0</v>
      </c>
      <c r="H672" s="159" t="s">
        <v>69</v>
      </c>
      <c r="I672" s="85"/>
    </row>
    <row r="673" ht="13.5" customHeight="1">
      <c r="A673" s="90">
        <v>669.0</v>
      </c>
      <c r="B673" s="146">
        <v>46007.0</v>
      </c>
      <c r="C673" s="164">
        <v>128.0</v>
      </c>
      <c r="D673" s="164">
        <v>111.0</v>
      </c>
      <c r="E673" s="164" t="s">
        <v>323</v>
      </c>
      <c r="F673" s="164" t="s">
        <v>309</v>
      </c>
      <c r="G673" s="146">
        <v>46007.0</v>
      </c>
      <c r="H673" s="159" t="s">
        <v>69</v>
      </c>
      <c r="I673" s="85"/>
    </row>
    <row r="674" ht="13.5" customHeight="1">
      <c r="A674" s="90">
        <v>670.0</v>
      </c>
      <c r="B674" s="146">
        <v>46007.0</v>
      </c>
      <c r="C674" s="164">
        <v>74.0</v>
      </c>
      <c r="D674" s="164">
        <v>25.0</v>
      </c>
      <c r="E674" s="164" t="s">
        <v>323</v>
      </c>
      <c r="F674" s="164" t="s">
        <v>309</v>
      </c>
      <c r="G674" s="146">
        <v>46007.0</v>
      </c>
      <c r="H674" s="159" t="s">
        <v>69</v>
      </c>
      <c r="I674" s="85"/>
    </row>
    <row r="675" ht="13.5" customHeight="1">
      <c r="A675" s="90">
        <v>671.0</v>
      </c>
      <c r="B675" s="146">
        <v>46008.0</v>
      </c>
      <c r="C675" s="78">
        <v>94.0</v>
      </c>
      <c r="D675" s="78">
        <v>107.0</v>
      </c>
      <c r="E675" s="164" t="s">
        <v>310</v>
      </c>
      <c r="F675" s="78" t="s">
        <v>314</v>
      </c>
      <c r="G675" s="146">
        <v>46010.0</v>
      </c>
      <c r="H675" s="159" t="s">
        <v>69</v>
      </c>
      <c r="I675" s="78" t="s">
        <v>333</v>
      </c>
    </row>
    <row r="676" ht="13.5" customHeight="1">
      <c r="A676" s="90">
        <v>672.0</v>
      </c>
      <c r="B676" s="146">
        <v>46008.0</v>
      </c>
      <c r="C676" s="164">
        <v>7.0</v>
      </c>
      <c r="D676" s="164">
        <v>65.0</v>
      </c>
      <c r="E676" s="164" t="s">
        <v>322</v>
      </c>
      <c r="F676" s="164" t="s">
        <v>309</v>
      </c>
      <c r="G676" s="146">
        <v>46008.0</v>
      </c>
      <c r="H676" s="159" t="s">
        <v>69</v>
      </c>
      <c r="I676" s="85"/>
    </row>
    <row r="677" ht="13.5" customHeight="1">
      <c r="A677" s="90">
        <v>673.0</v>
      </c>
      <c r="B677" s="146">
        <v>46008.0</v>
      </c>
      <c r="C677" s="164">
        <v>56.0</v>
      </c>
      <c r="D677" s="164">
        <v>11.0</v>
      </c>
      <c r="E677" s="164" t="s">
        <v>337</v>
      </c>
      <c r="F677" s="164" t="s">
        <v>309</v>
      </c>
      <c r="G677" s="146">
        <v>46008.0</v>
      </c>
      <c r="H677" s="159" t="s">
        <v>69</v>
      </c>
      <c r="I677" s="85"/>
    </row>
    <row r="678" ht="13.5" customHeight="1">
      <c r="A678" s="90">
        <v>674.0</v>
      </c>
      <c r="B678" s="146">
        <v>46008.0</v>
      </c>
      <c r="C678" s="164">
        <v>56.0</v>
      </c>
      <c r="D678" s="164">
        <v>12.0</v>
      </c>
      <c r="E678" s="164" t="s">
        <v>337</v>
      </c>
      <c r="F678" s="164" t="s">
        <v>309</v>
      </c>
      <c r="G678" s="146">
        <v>46008.0</v>
      </c>
      <c r="H678" s="159" t="s">
        <v>69</v>
      </c>
      <c r="I678" s="85"/>
    </row>
    <row r="679" ht="13.5" customHeight="1">
      <c r="A679" s="90">
        <v>675.0</v>
      </c>
      <c r="B679" s="146">
        <v>46008.0</v>
      </c>
      <c r="C679" s="164">
        <v>74.0</v>
      </c>
      <c r="D679" s="164">
        <v>42.0</v>
      </c>
      <c r="E679" s="164" t="s">
        <v>313</v>
      </c>
      <c r="F679" s="164" t="s">
        <v>309</v>
      </c>
      <c r="G679" s="146">
        <v>46008.0</v>
      </c>
      <c r="H679" s="159" t="s">
        <v>69</v>
      </c>
      <c r="I679" s="85"/>
    </row>
    <row r="680" ht="13.5" customHeight="1">
      <c r="A680" s="90">
        <v>676.0</v>
      </c>
      <c r="B680" s="146">
        <v>46008.0</v>
      </c>
      <c r="C680" s="164">
        <v>80.0</v>
      </c>
      <c r="D680" s="164">
        <v>95.0</v>
      </c>
      <c r="E680" s="164" t="s">
        <v>335</v>
      </c>
      <c r="F680" s="164" t="s">
        <v>309</v>
      </c>
      <c r="G680" s="146">
        <v>46008.0</v>
      </c>
      <c r="H680" s="159" t="s">
        <v>69</v>
      </c>
      <c r="I680" s="85"/>
    </row>
    <row r="681" ht="13.5" customHeight="1">
      <c r="A681" s="90">
        <v>677.0</v>
      </c>
      <c r="B681" s="146">
        <v>46008.0</v>
      </c>
      <c r="C681" s="164">
        <v>91.0</v>
      </c>
      <c r="D681" s="164">
        <v>36.0</v>
      </c>
      <c r="E681" s="164" t="s">
        <v>337</v>
      </c>
      <c r="F681" s="164" t="s">
        <v>309</v>
      </c>
      <c r="G681" s="146">
        <v>46008.0</v>
      </c>
      <c r="H681" s="159" t="s">
        <v>69</v>
      </c>
      <c r="I681" s="85"/>
    </row>
    <row r="682" ht="13.5" customHeight="1">
      <c r="A682" s="90">
        <v>678.0</v>
      </c>
      <c r="B682" s="146">
        <v>46008.0</v>
      </c>
      <c r="C682" s="164">
        <v>95.0</v>
      </c>
      <c r="D682" s="164">
        <v>3.0</v>
      </c>
      <c r="E682" s="164" t="s">
        <v>323</v>
      </c>
      <c r="F682" s="164" t="s">
        <v>309</v>
      </c>
      <c r="G682" s="146">
        <v>46008.0</v>
      </c>
      <c r="H682" s="159" t="s">
        <v>69</v>
      </c>
      <c r="I682" s="85"/>
    </row>
    <row r="683" ht="13.5" customHeight="1">
      <c r="A683" s="90">
        <v>679.0</v>
      </c>
      <c r="B683" s="146">
        <v>46008.0</v>
      </c>
      <c r="C683" s="164">
        <v>109.0</v>
      </c>
      <c r="D683" s="164">
        <v>12.0</v>
      </c>
      <c r="E683" s="164" t="s">
        <v>323</v>
      </c>
      <c r="F683" s="164" t="s">
        <v>309</v>
      </c>
      <c r="G683" s="146">
        <v>46008.0</v>
      </c>
      <c r="H683" s="159" t="s">
        <v>69</v>
      </c>
      <c r="I683" s="85"/>
    </row>
    <row r="684" ht="13.5" customHeight="1">
      <c r="A684" s="90">
        <v>680.0</v>
      </c>
      <c r="B684" s="146">
        <v>46008.0</v>
      </c>
      <c r="C684" s="164">
        <v>114.0</v>
      </c>
      <c r="D684" s="164">
        <v>113.0</v>
      </c>
      <c r="E684" s="164" t="s">
        <v>337</v>
      </c>
      <c r="F684" s="164" t="s">
        <v>309</v>
      </c>
      <c r="G684" s="146">
        <v>46008.0</v>
      </c>
      <c r="H684" s="159" t="s">
        <v>69</v>
      </c>
      <c r="I684" s="85"/>
    </row>
    <row r="685" ht="13.5" customHeight="1">
      <c r="A685" s="90">
        <v>681.0</v>
      </c>
      <c r="B685" s="146">
        <v>46009.0</v>
      </c>
      <c r="C685" s="164">
        <v>19.0</v>
      </c>
      <c r="D685" s="164">
        <v>20.0</v>
      </c>
      <c r="E685" s="164" t="s">
        <v>310</v>
      </c>
      <c r="F685" s="164" t="s">
        <v>309</v>
      </c>
      <c r="G685" s="146">
        <v>46009.0</v>
      </c>
      <c r="H685" s="159" t="s">
        <v>69</v>
      </c>
      <c r="I685" s="85"/>
    </row>
    <row r="686" ht="13.5" customHeight="1">
      <c r="A686" s="90">
        <v>682.0</v>
      </c>
      <c r="B686" s="146">
        <v>46009.0</v>
      </c>
      <c r="C686" s="164">
        <v>71.0</v>
      </c>
      <c r="D686" s="164">
        <v>86.0</v>
      </c>
      <c r="E686" s="164" t="s">
        <v>322</v>
      </c>
      <c r="F686" s="164" t="s">
        <v>320</v>
      </c>
      <c r="G686" s="146">
        <v>46009.0</v>
      </c>
      <c r="H686" s="159" t="s">
        <v>69</v>
      </c>
      <c r="I686" s="85"/>
    </row>
    <row r="687" ht="13.5" customHeight="1">
      <c r="A687" s="90">
        <v>683.0</v>
      </c>
      <c r="B687" s="146">
        <v>46009.0</v>
      </c>
      <c r="C687" s="164">
        <v>74.0</v>
      </c>
      <c r="D687" s="164">
        <v>42.0</v>
      </c>
      <c r="E687" s="164" t="s">
        <v>313</v>
      </c>
      <c r="F687" s="164" t="s">
        <v>309</v>
      </c>
      <c r="G687" s="146">
        <v>46009.0</v>
      </c>
      <c r="H687" s="159" t="s">
        <v>69</v>
      </c>
      <c r="I687" s="85"/>
    </row>
    <row r="688" ht="13.5" customHeight="1">
      <c r="A688" s="90">
        <v>684.0</v>
      </c>
      <c r="B688" s="146">
        <v>46009.0</v>
      </c>
      <c r="C688" s="164">
        <v>80.0</v>
      </c>
      <c r="D688" s="164">
        <v>95.0</v>
      </c>
      <c r="E688" s="164" t="s">
        <v>335</v>
      </c>
      <c r="F688" s="164" t="s">
        <v>309</v>
      </c>
      <c r="G688" s="146">
        <v>46009.0</v>
      </c>
      <c r="H688" s="159" t="s">
        <v>69</v>
      </c>
      <c r="I688" s="85"/>
    </row>
    <row r="689" ht="13.5" customHeight="1">
      <c r="A689" s="90">
        <v>685.0</v>
      </c>
      <c r="B689" s="146">
        <v>46009.0</v>
      </c>
      <c r="C689" s="164">
        <v>91.0</v>
      </c>
      <c r="D689" s="164">
        <v>36.0</v>
      </c>
      <c r="E689" s="164" t="s">
        <v>337</v>
      </c>
      <c r="F689" s="164" t="s">
        <v>309</v>
      </c>
      <c r="G689" s="146">
        <v>46009.0</v>
      </c>
      <c r="H689" s="159" t="s">
        <v>69</v>
      </c>
      <c r="I689" s="85"/>
    </row>
    <row r="690" ht="13.5" customHeight="1">
      <c r="A690" s="90">
        <v>686.0</v>
      </c>
      <c r="B690" s="146">
        <v>46009.0</v>
      </c>
      <c r="C690" s="164">
        <v>94.0</v>
      </c>
      <c r="D690" s="164">
        <v>139.0</v>
      </c>
      <c r="E690" s="164" t="s">
        <v>323</v>
      </c>
      <c r="F690" s="164" t="s">
        <v>309</v>
      </c>
      <c r="G690" s="146">
        <v>46009.0</v>
      </c>
      <c r="H690" s="159" t="s">
        <v>69</v>
      </c>
      <c r="I690" s="85"/>
    </row>
    <row r="691" ht="13.5" customHeight="1">
      <c r="A691" s="90">
        <v>687.0</v>
      </c>
      <c r="B691" s="146">
        <v>46009.0</v>
      </c>
      <c r="C691" s="164">
        <v>95.0</v>
      </c>
      <c r="D691" s="164">
        <v>3.0</v>
      </c>
      <c r="E691" s="164" t="s">
        <v>323</v>
      </c>
      <c r="F691" s="164" t="s">
        <v>309</v>
      </c>
      <c r="G691" s="146">
        <v>46009.0</v>
      </c>
      <c r="H691" s="159" t="s">
        <v>69</v>
      </c>
      <c r="I691" s="85"/>
    </row>
    <row r="692" ht="13.5" customHeight="1">
      <c r="A692" s="90">
        <v>688.0</v>
      </c>
      <c r="B692" s="146">
        <v>46009.0</v>
      </c>
      <c r="C692" s="164">
        <v>95.0</v>
      </c>
      <c r="D692" s="164">
        <v>66.0</v>
      </c>
      <c r="E692" s="164" t="s">
        <v>323</v>
      </c>
      <c r="F692" s="164" t="s">
        <v>309</v>
      </c>
      <c r="G692" s="146">
        <v>46009.0</v>
      </c>
      <c r="H692" s="159" t="s">
        <v>69</v>
      </c>
      <c r="I692" s="85"/>
    </row>
    <row r="693" ht="13.5" customHeight="1">
      <c r="A693" s="90">
        <v>689.0</v>
      </c>
      <c r="B693" s="146">
        <v>46009.0</v>
      </c>
      <c r="C693" s="164">
        <v>101.0</v>
      </c>
      <c r="D693" s="164">
        <v>42.0</v>
      </c>
      <c r="E693" s="164" t="s">
        <v>323</v>
      </c>
      <c r="F693" s="164" t="s">
        <v>309</v>
      </c>
      <c r="G693" s="146">
        <v>46009.0</v>
      </c>
      <c r="H693" s="159" t="s">
        <v>69</v>
      </c>
      <c r="I693" s="85"/>
    </row>
    <row r="694" ht="13.5" customHeight="1">
      <c r="A694" s="90">
        <v>690.0</v>
      </c>
      <c r="B694" s="146">
        <v>46009.0</v>
      </c>
      <c r="C694" s="164">
        <v>101.0</v>
      </c>
      <c r="D694" s="164">
        <v>73.0</v>
      </c>
      <c r="E694" s="164" t="s">
        <v>337</v>
      </c>
      <c r="F694" s="164" t="s">
        <v>309</v>
      </c>
      <c r="G694" s="146">
        <v>46009.0</v>
      </c>
      <c r="H694" s="159" t="s">
        <v>69</v>
      </c>
      <c r="I694" s="85"/>
    </row>
    <row r="695" ht="13.5" customHeight="1">
      <c r="A695" s="90">
        <v>691.0</v>
      </c>
      <c r="B695" s="146">
        <v>46009.0</v>
      </c>
      <c r="C695" s="164">
        <v>109.0</v>
      </c>
      <c r="D695" s="164">
        <v>12.0</v>
      </c>
      <c r="E695" s="164" t="s">
        <v>323</v>
      </c>
      <c r="F695" s="164" t="s">
        <v>309</v>
      </c>
      <c r="G695" s="146">
        <v>46009.0</v>
      </c>
      <c r="H695" s="159" t="s">
        <v>69</v>
      </c>
      <c r="I695" s="85"/>
    </row>
    <row r="696" ht="13.5" customHeight="1">
      <c r="A696" s="90">
        <v>692.0</v>
      </c>
      <c r="B696" s="146">
        <v>46009.0</v>
      </c>
      <c r="C696" s="164">
        <v>109.0</v>
      </c>
      <c r="D696" s="164">
        <v>21.0</v>
      </c>
      <c r="E696" s="164" t="s">
        <v>323</v>
      </c>
      <c r="F696" s="164" t="s">
        <v>309</v>
      </c>
      <c r="G696" s="146">
        <v>46009.0</v>
      </c>
      <c r="H696" s="159" t="s">
        <v>69</v>
      </c>
      <c r="I696" s="85"/>
    </row>
    <row r="697" ht="13.5" customHeight="1">
      <c r="A697" s="90">
        <v>693.0</v>
      </c>
      <c r="B697" s="146">
        <v>46009.0</v>
      </c>
      <c r="C697" s="164">
        <v>114.0</v>
      </c>
      <c r="D697" s="164">
        <v>113.0</v>
      </c>
      <c r="E697" s="164" t="s">
        <v>337</v>
      </c>
      <c r="F697" s="164" t="s">
        <v>309</v>
      </c>
      <c r="G697" s="146">
        <v>46009.0</v>
      </c>
      <c r="H697" s="159" t="s">
        <v>69</v>
      </c>
      <c r="I697" s="85"/>
    </row>
    <row r="698" ht="13.5" customHeight="1">
      <c r="A698" s="90">
        <v>694.0</v>
      </c>
      <c r="B698" s="146">
        <v>46009.0</v>
      </c>
      <c r="C698" s="164">
        <v>119.0</v>
      </c>
      <c r="D698" s="164">
        <v>35.0</v>
      </c>
      <c r="E698" s="164" t="s">
        <v>323</v>
      </c>
      <c r="F698" s="164" t="s">
        <v>309</v>
      </c>
      <c r="G698" s="146">
        <v>46009.0</v>
      </c>
      <c r="H698" s="159" t="s">
        <v>69</v>
      </c>
      <c r="I698" s="85"/>
    </row>
    <row r="699" ht="13.5" customHeight="1">
      <c r="A699" s="90">
        <v>695.0</v>
      </c>
      <c r="B699" s="146">
        <v>46009.0</v>
      </c>
      <c r="C699" s="164">
        <v>131.0</v>
      </c>
      <c r="D699" s="164">
        <v>68.0</v>
      </c>
      <c r="E699" s="164" t="s">
        <v>323</v>
      </c>
      <c r="F699" s="164" t="s">
        <v>309</v>
      </c>
      <c r="G699" s="146">
        <v>46009.0</v>
      </c>
      <c r="H699" s="159" t="s">
        <v>69</v>
      </c>
      <c r="I699" s="85"/>
    </row>
    <row r="700" ht="13.5" customHeight="1">
      <c r="A700" s="90">
        <v>696.0</v>
      </c>
      <c r="B700" s="146">
        <v>46010.0</v>
      </c>
      <c r="C700" s="164">
        <v>4.0</v>
      </c>
      <c r="D700" s="164">
        <v>26.0</v>
      </c>
      <c r="E700" s="164" t="s">
        <v>337</v>
      </c>
      <c r="F700" s="164" t="s">
        <v>309</v>
      </c>
      <c r="G700" s="146">
        <v>46010.0</v>
      </c>
      <c r="H700" s="159" t="s">
        <v>69</v>
      </c>
      <c r="I700" s="85"/>
    </row>
    <row r="701" ht="13.5" customHeight="1">
      <c r="A701" s="90">
        <v>697.0</v>
      </c>
      <c r="B701" s="146">
        <v>46010.0</v>
      </c>
      <c r="C701" s="164">
        <v>19.0</v>
      </c>
      <c r="D701" s="164">
        <v>20.0</v>
      </c>
      <c r="E701" s="164" t="s">
        <v>310</v>
      </c>
      <c r="F701" s="164" t="s">
        <v>309</v>
      </c>
      <c r="G701" s="146">
        <v>46010.0</v>
      </c>
      <c r="H701" s="159" t="s">
        <v>69</v>
      </c>
      <c r="I701" s="85"/>
    </row>
    <row r="702" ht="13.5" customHeight="1">
      <c r="A702" s="90">
        <v>698.0</v>
      </c>
      <c r="B702" s="146">
        <v>46010.0</v>
      </c>
      <c r="C702" s="164">
        <v>36.0</v>
      </c>
      <c r="D702" s="164">
        <v>61.0</v>
      </c>
      <c r="E702" s="164" t="s">
        <v>313</v>
      </c>
      <c r="F702" s="164" t="s">
        <v>309</v>
      </c>
      <c r="G702" s="146">
        <v>46010.0</v>
      </c>
      <c r="H702" s="159" t="s">
        <v>69</v>
      </c>
      <c r="I702" s="85"/>
    </row>
    <row r="703" ht="13.5" customHeight="1">
      <c r="A703" s="90">
        <v>699.0</v>
      </c>
      <c r="B703" s="146">
        <v>46010.0</v>
      </c>
      <c r="C703" s="164">
        <v>36.0</v>
      </c>
      <c r="D703" s="164">
        <v>67.0</v>
      </c>
      <c r="E703" s="164" t="s">
        <v>313</v>
      </c>
      <c r="F703" s="164" t="s">
        <v>309</v>
      </c>
      <c r="G703" s="146">
        <v>46010.0</v>
      </c>
      <c r="H703" s="159" t="s">
        <v>69</v>
      </c>
      <c r="I703" s="85"/>
    </row>
    <row r="704" ht="13.5" customHeight="1">
      <c r="A704" s="90">
        <v>700.0</v>
      </c>
      <c r="B704" s="146">
        <v>46010.0</v>
      </c>
      <c r="C704" s="164">
        <v>36.0</v>
      </c>
      <c r="D704" s="164">
        <v>69.0</v>
      </c>
      <c r="E704" s="164" t="s">
        <v>313</v>
      </c>
      <c r="F704" s="164" t="s">
        <v>309</v>
      </c>
      <c r="G704" s="146">
        <v>46010.0</v>
      </c>
      <c r="H704" s="159" t="s">
        <v>69</v>
      </c>
      <c r="I704" s="85"/>
    </row>
    <row r="705" ht="13.5" customHeight="1">
      <c r="A705" s="90">
        <v>701.0</v>
      </c>
      <c r="B705" s="146">
        <v>46010.0</v>
      </c>
      <c r="C705" s="164">
        <v>37.0</v>
      </c>
      <c r="D705" s="164">
        <v>124.0</v>
      </c>
      <c r="E705" s="164" t="s">
        <v>335</v>
      </c>
      <c r="F705" s="164" t="s">
        <v>309</v>
      </c>
      <c r="G705" s="146">
        <v>46010.0</v>
      </c>
      <c r="H705" s="159" t="s">
        <v>69</v>
      </c>
      <c r="I705" s="85"/>
    </row>
    <row r="706" ht="13.5" customHeight="1">
      <c r="A706" s="90">
        <v>702.0</v>
      </c>
      <c r="B706" s="146">
        <v>46010.0</v>
      </c>
      <c r="C706" s="164">
        <v>43.0</v>
      </c>
      <c r="D706" s="164">
        <v>18.0</v>
      </c>
      <c r="E706" s="164" t="s">
        <v>310</v>
      </c>
      <c r="F706" s="164" t="s">
        <v>309</v>
      </c>
      <c r="G706" s="146">
        <v>46010.0</v>
      </c>
      <c r="H706" s="159" t="s">
        <v>69</v>
      </c>
      <c r="I706" s="85"/>
    </row>
    <row r="707" ht="13.5" customHeight="1">
      <c r="A707" s="90">
        <v>703.0</v>
      </c>
      <c r="B707" s="146">
        <v>46010.0</v>
      </c>
      <c r="C707" s="164">
        <v>71.0</v>
      </c>
      <c r="D707" s="164">
        <v>98.0</v>
      </c>
      <c r="E707" s="164" t="s">
        <v>310</v>
      </c>
      <c r="F707" s="164" t="s">
        <v>309</v>
      </c>
      <c r="G707" s="146">
        <v>46010.0</v>
      </c>
      <c r="H707" s="159" t="s">
        <v>69</v>
      </c>
      <c r="I707" s="85"/>
    </row>
    <row r="708" ht="13.5" customHeight="1">
      <c r="A708" s="90">
        <v>704.0</v>
      </c>
      <c r="B708" s="146">
        <v>46010.0</v>
      </c>
      <c r="C708" s="164">
        <v>80.0</v>
      </c>
      <c r="D708" s="164">
        <v>40.0</v>
      </c>
      <c r="E708" s="164" t="s">
        <v>323</v>
      </c>
      <c r="F708" s="164" t="s">
        <v>309</v>
      </c>
      <c r="G708" s="146">
        <v>46010.0</v>
      </c>
      <c r="H708" s="159" t="s">
        <v>69</v>
      </c>
      <c r="I708" s="85"/>
    </row>
    <row r="709" ht="13.5" customHeight="1">
      <c r="A709" s="90">
        <v>705.0</v>
      </c>
      <c r="B709" s="146">
        <v>46010.0</v>
      </c>
      <c r="C709" s="164">
        <v>91.0</v>
      </c>
      <c r="D709" s="164">
        <v>36.0</v>
      </c>
      <c r="E709" s="164" t="s">
        <v>337</v>
      </c>
      <c r="F709" s="164" t="s">
        <v>309</v>
      </c>
      <c r="G709" s="146">
        <v>46010.0</v>
      </c>
      <c r="H709" s="159" t="s">
        <v>69</v>
      </c>
      <c r="I709" s="85"/>
    </row>
    <row r="710" ht="13.5" customHeight="1">
      <c r="A710" s="90">
        <v>706.0</v>
      </c>
      <c r="B710" s="146">
        <v>46010.0</v>
      </c>
      <c r="C710" s="164">
        <v>119.0</v>
      </c>
      <c r="D710" s="164">
        <v>35.0</v>
      </c>
      <c r="E710" s="164" t="s">
        <v>323</v>
      </c>
      <c r="F710" s="164" t="s">
        <v>309</v>
      </c>
      <c r="G710" s="146">
        <v>46010.0</v>
      </c>
      <c r="H710" s="159" t="s">
        <v>69</v>
      </c>
      <c r="I710" s="85"/>
    </row>
    <row r="711" ht="13.5" customHeight="1">
      <c r="A711" s="90">
        <v>707.0</v>
      </c>
      <c r="B711" s="146">
        <v>46012.0</v>
      </c>
      <c r="C711" s="164">
        <v>48.0</v>
      </c>
      <c r="D711" s="164">
        <v>24.0</v>
      </c>
      <c r="E711" s="164" t="s">
        <v>335</v>
      </c>
      <c r="F711" s="164" t="s">
        <v>314</v>
      </c>
      <c r="G711" s="146">
        <v>46024.0</v>
      </c>
      <c r="H711" s="159" t="s">
        <v>69</v>
      </c>
      <c r="I711" s="164" t="s">
        <v>333</v>
      </c>
    </row>
    <row r="712" ht="13.5" customHeight="1">
      <c r="A712" s="90">
        <v>708.0</v>
      </c>
      <c r="B712" s="146">
        <v>46012.0</v>
      </c>
      <c r="C712" s="164">
        <v>56.0</v>
      </c>
      <c r="D712" s="164">
        <v>125.0</v>
      </c>
      <c r="E712" s="164" t="s">
        <v>322</v>
      </c>
      <c r="F712" s="164" t="s">
        <v>314</v>
      </c>
      <c r="G712" s="146">
        <v>46014.0</v>
      </c>
      <c r="H712" s="159" t="s">
        <v>69</v>
      </c>
      <c r="I712" s="164" t="s">
        <v>333</v>
      </c>
    </row>
    <row r="713" ht="13.5" customHeight="1">
      <c r="A713" s="90">
        <v>709.0</v>
      </c>
      <c r="B713" s="146">
        <v>46012.0</v>
      </c>
      <c r="C713" s="164">
        <v>59.0</v>
      </c>
      <c r="D713" s="164">
        <v>103.0</v>
      </c>
      <c r="E713" s="164" t="s">
        <v>335</v>
      </c>
      <c r="F713" s="164" t="s">
        <v>314</v>
      </c>
      <c r="G713" s="146">
        <v>46020.0</v>
      </c>
      <c r="H713" s="159" t="s">
        <v>69</v>
      </c>
      <c r="I713" s="164" t="s">
        <v>333</v>
      </c>
    </row>
    <row r="714" ht="13.5" customHeight="1">
      <c r="A714" s="90">
        <v>710.0</v>
      </c>
      <c r="B714" s="146">
        <v>46012.0</v>
      </c>
      <c r="C714" s="164">
        <v>71.0</v>
      </c>
      <c r="D714" s="164">
        <v>98.0</v>
      </c>
      <c r="E714" s="164" t="s">
        <v>310</v>
      </c>
      <c r="F714" s="164" t="s">
        <v>314</v>
      </c>
      <c r="G714" s="146">
        <v>46013.0</v>
      </c>
      <c r="H714" s="159" t="s">
        <v>69</v>
      </c>
      <c r="I714" s="164" t="s">
        <v>333</v>
      </c>
    </row>
    <row r="715" ht="13.5" customHeight="1">
      <c r="A715" s="90">
        <v>711.0</v>
      </c>
      <c r="B715" s="146">
        <v>46012.0</v>
      </c>
      <c r="C715" s="164">
        <v>11.0</v>
      </c>
      <c r="D715" s="164">
        <v>102.0</v>
      </c>
      <c r="E715" s="164" t="s">
        <v>337</v>
      </c>
      <c r="F715" s="164" t="s">
        <v>309</v>
      </c>
      <c r="G715" s="146">
        <v>46012.0</v>
      </c>
      <c r="H715" s="159" t="s">
        <v>69</v>
      </c>
      <c r="I715" s="85"/>
    </row>
    <row r="716" ht="13.5" customHeight="1">
      <c r="A716" s="90">
        <v>712.0</v>
      </c>
      <c r="B716" s="146">
        <v>46012.0</v>
      </c>
      <c r="C716" s="164">
        <v>19.0</v>
      </c>
      <c r="D716" s="164">
        <v>63.0</v>
      </c>
      <c r="E716" s="164" t="s">
        <v>322</v>
      </c>
      <c r="F716" s="164" t="s">
        <v>320</v>
      </c>
      <c r="G716" s="146">
        <v>46012.0</v>
      </c>
      <c r="H716" s="159" t="s">
        <v>69</v>
      </c>
      <c r="I716" s="85"/>
    </row>
    <row r="717" ht="13.5" customHeight="1">
      <c r="A717" s="90">
        <v>713.0</v>
      </c>
      <c r="B717" s="146">
        <v>46012.0</v>
      </c>
      <c r="C717" s="164">
        <v>25.0</v>
      </c>
      <c r="D717" s="164">
        <v>63.0</v>
      </c>
      <c r="E717" s="164" t="s">
        <v>370</v>
      </c>
      <c r="F717" s="164" t="s">
        <v>309</v>
      </c>
      <c r="G717" s="146">
        <v>46012.0</v>
      </c>
      <c r="H717" s="159" t="s">
        <v>69</v>
      </c>
      <c r="I717" s="85"/>
    </row>
    <row r="718" ht="13.5" customHeight="1">
      <c r="A718" s="90">
        <v>714.0</v>
      </c>
      <c r="B718" s="146">
        <v>46012.0</v>
      </c>
      <c r="C718" s="164">
        <v>28.0</v>
      </c>
      <c r="D718" s="164">
        <v>7.0</v>
      </c>
      <c r="E718" s="164" t="s">
        <v>310</v>
      </c>
      <c r="F718" s="164" t="s">
        <v>309</v>
      </c>
      <c r="G718" s="146">
        <v>46012.0</v>
      </c>
      <c r="H718" s="159" t="s">
        <v>69</v>
      </c>
      <c r="I718" s="85"/>
    </row>
    <row r="719" ht="13.5" customHeight="1">
      <c r="A719" s="90">
        <v>715.0</v>
      </c>
      <c r="B719" s="146">
        <v>46012.0</v>
      </c>
      <c r="C719" s="164">
        <v>37.0</v>
      </c>
      <c r="D719" s="164">
        <v>124.0</v>
      </c>
      <c r="E719" s="164" t="s">
        <v>335</v>
      </c>
      <c r="F719" s="164" t="s">
        <v>309</v>
      </c>
      <c r="G719" s="146">
        <v>46012.0</v>
      </c>
      <c r="H719" s="159" t="s">
        <v>69</v>
      </c>
      <c r="I719" s="85"/>
    </row>
    <row r="720" ht="13.5" customHeight="1">
      <c r="A720" s="90">
        <v>716.0</v>
      </c>
      <c r="B720" s="146">
        <v>46012.0</v>
      </c>
      <c r="C720" s="164">
        <v>43.0</v>
      </c>
      <c r="D720" s="164">
        <v>18.0</v>
      </c>
      <c r="E720" s="164" t="s">
        <v>310</v>
      </c>
      <c r="F720" s="164" t="s">
        <v>309</v>
      </c>
      <c r="G720" s="146">
        <v>46012.0</v>
      </c>
      <c r="H720" s="159" t="s">
        <v>69</v>
      </c>
      <c r="I720" s="85"/>
    </row>
    <row r="721" ht="13.5" customHeight="1">
      <c r="A721" s="90">
        <v>717.0</v>
      </c>
      <c r="B721" s="146">
        <v>46012.0</v>
      </c>
      <c r="C721" s="164">
        <v>43.0</v>
      </c>
      <c r="D721" s="164">
        <v>74.0</v>
      </c>
      <c r="E721" s="164" t="s">
        <v>323</v>
      </c>
      <c r="F721" s="164" t="s">
        <v>309</v>
      </c>
      <c r="G721" s="146">
        <v>46012.0</v>
      </c>
      <c r="H721" s="159" t="s">
        <v>69</v>
      </c>
      <c r="I721" s="85"/>
    </row>
    <row r="722" ht="13.5" customHeight="1">
      <c r="A722" s="90">
        <v>718.0</v>
      </c>
      <c r="B722" s="146">
        <v>46012.0</v>
      </c>
      <c r="C722" s="164">
        <v>53.0</v>
      </c>
      <c r="D722" s="164">
        <v>113.0</v>
      </c>
      <c r="E722" s="164" t="s">
        <v>310</v>
      </c>
      <c r="F722" s="164" t="s">
        <v>309</v>
      </c>
      <c r="G722" s="146">
        <v>46012.0</v>
      </c>
      <c r="H722" s="159" t="s">
        <v>69</v>
      </c>
      <c r="I722" s="85"/>
    </row>
    <row r="723" ht="13.5" customHeight="1">
      <c r="A723" s="90">
        <v>719.0</v>
      </c>
      <c r="B723" s="146">
        <v>46012.0</v>
      </c>
      <c r="C723" s="164">
        <v>79.0</v>
      </c>
      <c r="D723" s="164">
        <v>108.0</v>
      </c>
      <c r="E723" s="164" t="s">
        <v>322</v>
      </c>
      <c r="F723" s="164" t="s">
        <v>320</v>
      </c>
      <c r="G723" s="146">
        <v>46012.0</v>
      </c>
      <c r="H723" s="159" t="s">
        <v>69</v>
      </c>
      <c r="I723" s="85"/>
    </row>
    <row r="724" ht="13.5" customHeight="1">
      <c r="A724" s="90">
        <v>720.0</v>
      </c>
      <c r="B724" s="146">
        <v>46012.0</v>
      </c>
      <c r="C724" s="164">
        <v>79.0</v>
      </c>
      <c r="D724" s="164">
        <v>120.0</v>
      </c>
      <c r="E724" s="164" t="s">
        <v>337</v>
      </c>
      <c r="F724" s="164" t="s">
        <v>309</v>
      </c>
      <c r="G724" s="146">
        <v>46012.0</v>
      </c>
      <c r="H724" s="159" t="s">
        <v>69</v>
      </c>
      <c r="I724" s="85"/>
    </row>
    <row r="725" ht="13.5" customHeight="1">
      <c r="A725" s="90">
        <v>721.0</v>
      </c>
      <c r="B725" s="146">
        <v>46012.0</v>
      </c>
      <c r="C725" s="164">
        <v>80.0</v>
      </c>
      <c r="D725" s="164">
        <v>40.0</v>
      </c>
      <c r="E725" s="164" t="s">
        <v>323</v>
      </c>
      <c r="F725" s="164" t="s">
        <v>309</v>
      </c>
      <c r="G725" s="146">
        <v>46012.0</v>
      </c>
      <c r="H725" s="159" t="s">
        <v>69</v>
      </c>
      <c r="I725" s="85"/>
    </row>
    <row r="726" ht="13.5" customHeight="1">
      <c r="A726" s="90">
        <v>722.0</v>
      </c>
      <c r="B726" s="146">
        <v>46012.0</v>
      </c>
      <c r="C726" s="164">
        <v>101.0</v>
      </c>
      <c r="D726" s="164">
        <v>50.0</v>
      </c>
      <c r="E726" s="164" t="s">
        <v>323</v>
      </c>
      <c r="F726" s="164" t="s">
        <v>309</v>
      </c>
      <c r="G726" s="146">
        <v>46012.0</v>
      </c>
      <c r="H726" s="159" t="s">
        <v>69</v>
      </c>
      <c r="I726" s="85"/>
    </row>
    <row r="727" ht="13.5" customHeight="1">
      <c r="A727" s="90">
        <v>723.0</v>
      </c>
      <c r="B727" s="146">
        <v>46012.0</v>
      </c>
      <c r="C727" s="164">
        <v>106.0</v>
      </c>
      <c r="D727" s="164">
        <v>46.0</v>
      </c>
      <c r="E727" s="164" t="s">
        <v>335</v>
      </c>
      <c r="F727" s="164" t="s">
        <v>309</v>
      </c>
      <c r="G727" s="146">
        <v>46012.0</v>
      </c>
      <c r="H727" s="159" t="s">
        <v>69</v>
      </c>
      <c r="I727" s="85"/>
    </row>
    <row r="728" ht="13.5" customHeight="1">
      <c r="A728" s="90">
        <v>724.0</v>
      </c>
      <c r="B728" s="146">
        <v>46012.0</v>
      </c>
      <c r="C728" s="164">
        <v>109.0</v>
      </c>
      <c r="D728" s="164">
        <v>21.0</v>
      </c>
      <c r="E728" s="164" t="s">
        <v>323</v>
      </c>
      <c r="F728" s="164" t="s">
        <v>309</v>
      </c>
      <c r="G728" s="146">
        <v>46012.0</v>
      </c>
      <c r="H728" s="159" t="s">
        <v>69</v>
      </c>
      <c r="I728" s="85"/>
    </row>
    <row r="729" ht="13.5" customHeight="1">
      <c r="A729" s="90">
        <v>725.0</v>
      </c>
      <c r="B729" s="146">
        <v>46012.0</v>
      </c>
      <c r="C729" s="164">
        <v>121.0</v>
      </c>
      <c r="D729" s="164">
        <v>98.0</v>
      </c>
      <c r="E729" s="164" t="s">
        <v>337</v>
      </c>
      <c r="F729" s="164" t="s">
        <v>309</v>
      </c>
      <c r="G729" s="146">
        <v>46012.0</v>
      </c>
      <c r="H729" s="159" t="s">
        <v>69</v>
      </c>
      <c r="I729" s="85"/>
    </row>
    <row r="730" ht="13.5" customHeight="1">
      <c r="A730" s="90">
        <v>726.0</v>
      </c>
      <c r="B730" s="146">
        <v>46014.0</v>
      </c>
      <c r="C730" s="78">
        <v>53.0</v>
      </c>
      <c r="D730" s="78">
        <v>113.0</v>
      </c>
      <c r="E730" s="164" t="s">
        <v>310</v>
      </c>
      <c r="F730" s="78" t="s">
        <v>314</v>
      </c>
      <c r="G730" s="146">
        <v>46023.0</v>
      </c>
      <c r="H730" s="159" t="s">
        <v>69</v>
      </c>
      <c r="I730" s="78" t="s">
        <v>380</v>
      </c>
    </row>
    <row r="731" ht="13.5" customHeight="1">
      <c r="A731" s="90">
        <v>727.0</v>
      </c>
      <c r="B731" s="146">
        <v>46014.0</v>
      </c>
      <c r="C731" s="164">
        <v>4.0</v>
      </c>
      <c r="D731" s="164">
        <v>61.0</v>
      </c>
      <c r="E731" s="164" t="s">
        <v>310</v>
      </c>
      <c r="F731" s="164" t="s">
        <v>309</v>
      </c>
      <c r="G731" s="146">
        <v>46014.0</v>
      </c>
      <c r="H731" s="159" t="s">
        <v>69</v>
      </c>
      <c r="I731" s="85"/>
    </row>
    <row r="732" ht="13.5" customHeight="1">
      <c r="A732" s="90">
        <v>728.0</v>
      </c>
      <c r="B732" s="146">
        <v>46014.0</v>
      </c>
      <c r="C732" s="164">
        <v>15.0</v>
      </c>
      <c r="D732" s="164">
        <v>105.0</v>
      </c>
      <c r="E732" s="164" t="s">
        <v>322</v>
      </c>
      <c r="F732" s="164" t="s">
        <v>320</v>
      </c>
      <c r="G732" s="146">
        <v>46014.0</v>
      </c>
      <c r="H732" s="159" t="s">
        <v>69</v>
      </c>
      <c r="I732" s="85"/>
    </row>
    <row r="733" ht="13.5" customHeight="1">
      <c r="A733" s="90">
        <v>729.0</v>
      </c>
      <c r="B733" s="146">
        <v>46014.0</v>
      </c>
      <c r="C733" s="164">
        <v>19.0</v>
      </c>
      <c r="D733" s="164">
        <v>20.0</v>
      </c>
      <c r="E733" s="164" t="s">
        <v>310</v>
      </c>
      <c r="F733" s="164" t="s">
        <v>309</v>
      </c>
      <c r="G733" s="146">
        <v>46014.0</v>
      </c>
      <c r="H733" s="159" t="s">
        <v>69</v>
      </c>
      <c r="I733" s="85"/>
    </row>
    <row r="734" ht="13.5" customHeight="1">
      <c r="A734" s="90">
        <v>730.0</v>
      </c>
      <c r="B734" s="146">
        <v>46014.0</v>
      </c>
      <c r="C734" s="164">
        <v>43.0</v>
      </c>
      <c r="D734" s="164">
        <v>74.0</v>
      </c>
      <c r="E734" s="164" t="s">
        <v>323</v>
      </c>
      <c r="F734" s="164" t="s">
        <v>309</v>
      </c>
      <c r="G734" s="146">
        <v>46014.0</v>
      </c>
      <c r="H734" s="159" t="s">
        <v>69</v>
      </c>
      <c r="I734" s="85"/>
    </row>
    <row r="735" ht="13.5" customHeight="1">
      <c r="A735" s="90">
        <v>731.0</v>
      </c>
      <c r="B735" s="146">
        <v>46015.0</v>
      </c>
      <c r="C735" s="164">
        <v>74.0</v>
      </c>
      <c r="D735" s="164">
        <v>45.0</v>
      </c>
      <c r="E735" s="164" t="s">
        <v>322</v>
      </c>
      <c r="F735" s="78" t="s">
        <v>381</v>
      </c>
      <c r="G735" s="146">
        <v>46016.0</v>
      </c>
      <c r="H735" s="159" t="s">
        <v>69</v>
      </c>
      <c r="I735" s="164" t="s">
        <v>382</v>
      </c>
    </row>
    <row r="736" ht="13.5" customHeight="1">
      <c r="A736" s="90">
        <v>732.0</v>
      </c>
      <c r="B736" s="146">
        <v>46015.0</v>
      </c>
      <c r="C736" s="164">
        <v>119.0</v>
      </c>
      <c r="D736" s="164">
        <v>49.0</v>
      </c>
      <c r="E736" s="164" t="s">
        <v>335</v>
      </c>
      <c r="F736" s="78" t="s">
        <v>314</v>
      </c>
      <c r="G736" s="146">
        <v>46016.0</v>
      </c>
      <c r="H736" s="159" t="s">
        <v>69</v>
      </c>
      <c r="I736" s="164" t="s">
        <v>333</v>
      </c>
    </row>
    <row r="737" ht="13.5" customHeight="1">
      <c r="A737" s="90">
        <v>733.0</v>
      </c>
      <c r="B737" s="146">
        <v>46015.0</v>
      </c>
      <c r="C737" s="78">
        <v>58.0</v>
      </c>
      <c r="D737" s="78">
        <v>26.0</v>
      </c>
      <c r="E737" s="164" t="s">
        <v>322</v>
      </c>
      <c r="F737" s="78" t="s">
        <v>285</v>
      </c>
      <c r="G737" s="146">
        <v>46017.0</v>
      </c>
      <c r="H737" s="159" t="s">
        <v>69</v>
      </c>
      <c r="I737" s="164" t="s">
        <v>340</v>
      </c>
    </row>
    <row r="738" ht="13.5" customHeight="1">
      <c r="A738" s="90">
        <v>734.0</v>
      </c>
      <c r="B738" s="146">
        <v>46015.0</v>
      </c>
      <c r="C738" s="164">
        <v>4.0</v>
      </c>
      <c r="D738" s="164">
        <v>59.0</v>
      </c>
      <c r="E738" s="164" t="s">
        <v>310</v>
      </c>
      <c r="F738" s="164" t="s">
        <v>309</v>
      </c>
      <c r="G738" s="146">
        <v>46015.0</v>
      </c>
      <c r="H738" s="159" t="s">
        <v>69</v>
      </c>
      <c r="I738" s="85"/>
    </row>
    <row r="739" ht="13.5" customHeight="1">
      <c r="A739" s="90">
        <v>735.0</v>
      </c>
      <c r="B739" s="146">
        <v>46015.0</v>
      </c>
      <c r="C739" s="164">
        <v>16.0</v>
      </c>
      <c r="D739" s="164">
        <v>59.0</v>
      </c>
      <c r="E739" s="164" t="s">
        <v>322</v>
      </c>
      <c r="F739" s="164" t="s">
        <v>320</v>
      </c>
      <c r="G739" s="146">
        <v>46015.0</v>
      </c>
      <c r="H739" s="159" t="s">
        <v>69</v>
      </c>
      <c r="I739" s="85"/>
    </row>
    <row r="740" ht="13.5" customHeight="1">
      <c r="A740" s="90">
        <v>736.0</v>
      </c>
      <c r="B740" s="146">
        <v>46015.0</v>
      </c>
      <c r="C740" s="164">
        <v>16.0</v>
      </c>
      <c r="D740" s="164">
        <v>65.0</v>
      </c>
      <c r="E740" s="164" t="s">
        <v>322</v>
      </c>
      <c r="F740" s="164" t="s">
        <v>320</v>
      </c>
      <c r="G740" s="146">
        <v>46015.0</v>
      </c>
      <c r="H740" s="159" t="s">
        <v>69</v>
      </c>
      <c r="I740" s="85"/>
    </row>
    <row r="741" ht="13.5" customHeight="1">
      <c r="A741" s="90">
        <v>737.0</v>
      </c>
      <c r="B741" s="146">
        <v>46015.0</v>
      </c>
      <c r="C741" s="164">
        <v>16.0</v>
      </c>
      <c r="D741" s="164">
        <v>78.0</v>
      </c>
      <c r="E741" s="164" t="s">
        <v>322</v>
      </c>
      <c r="F741" s="164" t="s">
        <v>320</v>
      </c>
      <c r="G741" s="146">
        <v>46015.0</v>
      </c>
      <c r="H741" s="159" t="s">
        <v>69</v>
      </c>
      <c r="I741" s="85"/>
    </row>
    <row r="742" ht="13.5" customHeight="1">
      <c r="A742" s="90">
        <v>738.0</v>
      </c>
      <c r="B742" s="146">
        <v>46015.0</v>
      </c>
      <c r="C742" s="164">
        <v>16.0</v>
      </c>
      <c r="D742" s="164">
        <v>105.0</v>
      </c>
      <c r="E742" s="164" t="s">
        <v>335</v>
      </c>
      <c r="F742" s="164" t="s">
        <v>309</v>
      </c>
      <c r="G742" s="146">
        <v>46015.0</v>
      </c>
      <c r="H742" s="159" t="s">
        <v>69</v>
      </c>
      <c r="I742" s="85"/>
    </row>
    <row r="743" ht="13.5" customHeight="1">
      <c r="A743" s="90">
        <v>739.0</v>
      </c>
      <c r="B743" s="146">
        <v>46015.0</v>
      </c>
      <c r="C743" s="164">
        <v>80.0</v>
      </c>
      <c r="D743" s="164">
        <v>93.0</v>
      </c>
      <c r="E743" s="164" t="s">
        <v>335</v>
      </c>
      <c r="F743" s="164" t="s">
        <v>309</v>
      </c>
      <c r="G743" s="146">
        <v>46015.0</v>
      </c>
      <c r="H743" s="159" t="s">
        <v>69</v>
      </c>
      <c r="I743" s="85"/>
    </row>
    <row r="744" ht="13.5" customHeight="1">
      <c r="A744" s="90">
        <v>740.0</v>
      </c>
      <c r="B744" s="146">
        <v>46015.0</v>
      </c>
      <c r="C744" s="164">
        <v>91.0</v>
      </c>
      <c r="D744" s="164">
        <v>36.0</v>
      </c>
      <c r="E744" s="164" t="s">
        <v>337</v>
      </c>
      <c r="F744" s="164" t="s">
        <v>309</v>
      </c>
      <c r="G744" s="146">
        <v>46015.0</v>
      </c>
      <c r="H744" s="159" t="s">
        <v>69</v>
      </c>
      <c r="I744" s="85"/>
    </row>
    <row r="745" ht="13.5" customHeight="1">
      <c r="A745" s="90">
        <v>741.0</v>
      </c>
      <c r="B745" s="146">
        <v>46015.0</v>
      </c>
      <c r="C745" s="164">
        <v>93.0</v>
      </c>
      <c r="D745" s="164">
        <v>73.0</v>
      </c>
      <c r="E745" s="164" t="s">
        <v>323</v>
      </c>
      <c r="F745" s="164" t="s">
        <v>309</v>
      </c>
      <c r="G745" s="146">
        <v>46015.0</v>
      </c>
      <c r="H745" s="159" t="s">
        <v>69</v>
      </c>
      <c r="I745" s="85"/>
    </row>
    <row r="746" ht="13.5" customHeight="1">
      <c r="A746" s="90">
        <v>742.0</v>
      </c>
      <c r="B746" s="146">
        <v>46015.0</v>
      </c>
      <c r="C746" s="164">
        <v>94.0</v>
      </c>
      <c r="D746" s="164">
        <v>19.0</v>
      </c>
      <c r="E746" s="164" t="s">
        <v>323</v>
      </c>
      <c r="F746" s="164" t="s">
        <v>309</v>
      </c>
      <c r="G746" s="146">
        <v>46015.0</v>
      </c>
      <c r="H746" s="159" t="s">
        <v>69</v>
      </c>
      <c r="I746" s="85"/>
    </row>
    <row r="747" ht="13.5" customHeight="1">
      <c r="A747" s="90">
        <v>743.0</v>
      </c>
      <c r="B747" s="146">
        <v>46016.0</v>
      </c>
      <c r="C747" s="164">
        <v>56.0</v>
      </c>
      <c r="D747" s="164">
        <v>125.0</v>
      </c>
      <c r="E747" s="164" t="s">
        <v>310</v>
      </c>
      <c r="F747" s="78" t="s">
        <v>314</v>
      </c>
      <c r="G747" s="146">
        <v>46021.0</v>
      </c>
      <c r="H747" s="159" t="s">
        <v>69</v>
      </c>
      <c r="I747" s="164" t="s">
        <v>383</v>
      </c>
    </row>
    <row r="748" ht="13.5" customHeight="1">
      <c r="A748" s="90">
        <v>744.0</v>
      </c>
      <c r="B748" s="146">
        <v>46016.0</v>
      </c>
      <c r="C748" s="164">
        <v>82.0</v>
      </c>
      <c r="D748" s="164">
        <v>41.0</v>
      </c>
      <c r="E748" s="164" t="s">
        <v>335</v>
      </c>
      <c r="F748" s="78" t="s">
        <v>314</v>
      </c>
      <c r="G748" s="146">
        <v>46024.0</v>
      </c>
      <c r="H748" s="159" t="s">
        <v>69</v>
      </c>
      <c r="I748" s="164" t="s">
        <v>333</v>
      </c>
    </row>
    <row r="749" ht="13.5" customHeight="1">
      <c r="A749" s="90">
        <v>745.0</v>
      </c>
      <c r="B749" s="146">
        <v>46016.0</v>
      </c>
      <c r="C749" s="164">
        <v>4.0</v>
      </c>
      <c r="D749" s="164">
        <v>59.0</v>
      </c>
      <c r="E749" s="164" t="s">
        <v>310</v>
      </c>
      <c r="F749" s="164" t="s">
        <v>309</v>
      </c>
      <c r="G749" s="146">
        <v>46016.0</v>
      </c>
      <c r="H749" s="159" t="s">
        <v>69</v>
      </c>
      <c r="I749" s="85"/>
    </row>
    <row r="750" ht="13.5" customHeight="1">
      <c r="A750" s="90">
        <v>746.0</v>
      </c>
      <c r="B750" s="146">
        <v>46016.0</v>
      </c>
      <c r="C750" s="164">
        <v>9.0</v>
      </c>
      <c r="D750" s="164">
        <v>53.0</v>
      </c>
      <c r="E750" s="164" t="s">
        <v>335</v>
      </c>
      <c r="F750" s="164" t="s">
        <v>309</v>
      </c>
      <c r="G750" s="146">
        <v>46016.0</v>
      </c>
      <c r="H750" s="159" t="s">
        <v>69</v>
      </c>
      <c r="I750" s="85"/>
    </row>
    <row r="751" ht="13.5" customHeight="1">
      <c r="A751" s="90">
        <v>747.0</v>
      </c>
      <c r="B751" s="146">
        <v>46016.0</v>
      </c>
      <c r="C751" s="164">
        <v>16.0</v>
      </c>
      <c r="D751" s="164">
        <v>94.0</v>
      </c>
      <c r="E751" s="164" t="s">
        <v>370</v>
      </c>
      <c r="F751" s="164" t="s">
        <v>309</v>
      </c>
      <c r="G751" s="146">
        <v>46016.0</v>
      </c>
      <c r="H751" s="159" t="s">
        <v>69</v>
      </c>
      <c r="I751" s="85"/>
    </row>
    <row r="752" ht="13.5" customHeight="1">
      <c r="A752" s="90">
        <v>748.0</v>
      </c>
      <c r="B752" s="146">
        <v>46016.0</v>
      </c>
      <c r="C752" s="164">
        <v>41.0</v>
      </c>
      <c r="D752" s="164">
        <v>32.0</v>
      </c>
      <c r="E752" s="164" t="s">
        <v>337</v>
      </c>
      <c r="F752" s="164" t="s">
        <v>309</v>
      </c>
      <c r="G752" s="146">
        <v>46016.0</v>
      </c>
      <c r="H752" s="159" t="s">
        <v>69</v>
      </c>
      <c r="I752" s="85"/>
    </row>
    <row r="753" ht="13.5" customHeight="1">
      <c r="A753" s="90">
        <v>749.0</v>
      </c>
      <c r="B753" s="146">
        <v>46016.0</v>
      </c>
      <c r="C753" s="164">
        <v>75.0</v>
      </c>
      <c r="D753" s="164">
        <v>51.0</v>
      </c>
      <c r="E753" s="164" t="s">
        <v>337</v>
      </c>
      <c r="F753" s="164" t="s">
        <v>309</v>
      </c>
      <c r="G753" s="146">
        <v>46016.0</v>
      </c>
      <c r="H753" s="159" t="s">
        <v>69</v>
      </c>
      <c r="I753" s="85"/>
    </row>
    <row r="754" ht="13.5" customHeight="1">
      <c r="A754" s="90">
        <v>750.0</v>
      </c>
      <c r="B754" s="146">
        <v>46016.0</v>
      </c>
      <c r="C754" s="164">
        <v>80.0</v>
      </c>
      <c r="D754" s="164">
        <v>93.0</v>
      </c>
      <c r="E754" s="164" t="s">
        <v>335</v>
      </c>
      <c r="F754" s="164" t="s">
        <v>309</v>
      </c>
      <c r="G754" s="146">
        <v>46016.0</v>
      </c>
      <c r="H754" s="159" t="s">
        <v>69</v>
      </c>
      <c r="I754" s="85"/>
    </row>
    <row r="755" ht="13.5" customHeight="1">
      <c r="A755" s="90">
        <v>751.0</v>
      </c>
      <c r="B755" s="146">
        <v>46016.0</v>
      </c>
      <c r="C755" s="164">
        <v>95.0</v>
      </c>
      <c r="D755" s="164">
        <v>109.0</v>
      </c>
      <c r="E755" s="164" t="s">
        <v>370</v>
      </c>
      <c r="F755" s="164" t="s">
        <v>309</v>
      </c>
      <c r="G755" s="146">
        <v>46016.0</v>
      </c>
      <c r="H755" s="159" t="s">
        <v>69</v>
      </c>
      <c r="I755" s="85"/>
    </row>
    <row r="756" ht="13.5" customHeight="1">
      <c r="A756" s="90">
        <v>752.0</v>
      </c>
      <c r="B756" s="146">
        <v>46016.0</v>
      </c>
      <c r="C756" s="164">
        <v>109.0</v>
      </c>
      <c r="D756" s="164">
        <v>55.0</v>
      </c>
      <c r="E756" s="164" t="s">
        <v>335</v>
      </c>
      <c r="F756" s="164" t="s">
        <v>309</v>
      </c>
      <c r="G756" s="146">
        <v>46016.0</v>
      </c>
      <c r="H756" s="159" t="s">
        <v>69</v>
      </c>
      <c r="I756" s="85"/>
    </row>
    <row r="757" ht="13.5" customHeight="1">
      <c r="A757" s="90">
        <v>753.0</v>
      </c>
      <c r="B757" s="146">
        <v>46016.0</v>
      </c>
      <c r="C757" s="164">
        <v>120.0</v>
      </c>
      <c r="D757" s="164">
        <v>128.0</v>
      </c>
      <c r="E757" s="164" t="s">
        <v>323</v>
      </c>
      <c r="F757" s="164" t="s">
        <v>309</v>
      </c>
      <c r="G757" s="146">
        <v>46016.0</v>
      </c>
      <c r="H757" s="159" t="s">
        <v>69</v>
      </c>
      <c r="I757" s="85"/>
    </row>
    <row r="758" ht="13.5" customHeight="1">
      <c r="A758" s="90">
        <v>754.0</v>
      </c>
      <c r="B758" s="146">
        <v>46016.0</v>
      </c>
      <c r="C758" s="164">
        <v>122.0</v>
      </c>
      <c r="D758" s="164">
        <v>27.0</v>
      </c>
      <c r="E758" s="164" t="s">
        <v>322</v>
      </c>
      <c r="F758" s="164" t="s">
        <v>320</v>
      </c>
      <c r="G758" s="146">
        <v>46016.0</v>
      </c>
      <c r="H758" s="159" t="s">
        <v>69</v>
      </c>
      <c r="I758" s="85"/>
    </row>
    <row r="759" ht="13.5" customHeight="1">
      <c r="A759" s="90">
        <v>755.0</v>
      </c>
      <c r="B759" s="146">
        <v>46017.0</v>
      </c>
      <c r="C759" s="78">
        <v>122.0</v>
      </c>
      <c r="D759" s="78">
        <v>120.0</v>
      </c>
      <c r="E759" s="164" t="s">
        <v>335</v>
      </c>
      <c r="F759" s="78" t="s">
        <v>285</v>
      </c>
      <c r="G759" s="146">
        <v>46021.0</v>
      </c>
      <c r="H759" s="159" t="s">
        <v>69</v>
      </c>
      <c r="I759" s="78" t="s">
        <v>384</v>
      </c>
    </row>
    <row r="760" ht="13.5" customHeight="1">
      <c r="A760" s="90">
        <v>756.0</v>
      </c>
      <c r="B760" s="146">
        <v>46017.0</v>
      </c>
      <c r="C760" s="164">
        <v>28.0</v>
      </c>
      <c r="D760" s="164">
        <v>7.0</v>
      </c>
      <c r="E760" s="164" t="s">
        <v>335</v>
      </c>
      <c r="F760" s="164" t="s">
        <v>309</v>
      </c>
      <c r="G760" s="146">
        <v>46017.0</v>
      </c>
      <c r="H760" s="159" t="s">
        <v>69</v>
      </c>
      <c r="I760" s="85"/>
    </row>
    <row r="761" ht="13.5" customHeight="1">
      <c r="A761" s="90">
        <v>757.0</v>
      </c>
      <c r="B761" s="146">
        <v>46017.0</v>
      </c>
      <c r="C761" s="164">
        <v>29.0</v>
      </c>
      <c r="D761" s="164">
        <v>33.0</v>
      </c>
      <c r="E761" s="164" t="s">
        <v>335</v>
      </c>
      <c r="F761" s="164" t="s">
        <v>309</v>
      </c>
      <c r="G761" s="146">
        <v>46017.0</v>
      </c>
      <c r="H761" s="159" t="s">
        <v>69</v>
      </c>
      <c r="I761" s="85"/>
    </row>
    <row r="762" ht="13.5" customHeight="1">
      <c r="A762" s="90">
        <v>758.0</v>
      </c>
      <c r="B762" s="146">
        <v>46017.0</v>
      </c>
      <c r="C762" s="164">
        <v>83.0</v>
      </c>
      <c r="D762" s="164">
        <v>18.0</v>
      </c>
      <c r="E762" s="164" t="s">
        <v>335</v>
      </c>
      <c r="F762" s="164" t="s">
        <v>309</v>
      </c>
      <c r="G762" s="146">
        <v>46017.0</v>
      </c>
      <c r="H762" s="159" t="s">
        <v>69</v>
      </c>
      <c r="I762" s="85"/>
    </row>
    <row r="763" ht="13.5" customHeight="1">
      <c r="A763" s="90">
        <v>759.0</v>
      </c>
      <c r="B763" s="146">
        <v>46017.0</v>
      </c>
      <c r="C763" s="164">
        <v>95.0</v>
      </c>
      <c r="D763" s="164">
        <v>109.0</v>
      </c>
      <c r="E763" s="164" t="s">
        <v>370</v>
      </c>
      <c r="F763" s="164" t="s">
        <v>309</v>
      </c>
      <c r="G763" s="146">
        <v>46017.0</v>
      </c>
      <c r="H763" s="159" t="s">
        <v>69</v>
      </c>
      <c r="I763" s="85"/>
    </row>
    <row r="764" ht="13.5" customHeight="1">
      <c r="A764" s="90">
        <v>760.0</v>
      </c>
      <c r="B764" s="146">
        <v>46017.0</v>
      </c>
      <c r="C764" s="164">
        <v>109.0</v>
      </c>
      <c r="D764" s="164">
        <v>55.0</v>
      </c>
      <c r="E764" s="164" t="s">
        <v>335</v>
      </c>
      <c r="F764" s="164" t="s">
        <v>309</v>
      </c>
      <c r="G764" s="146">
        <v>46017.0</v>
      </c>
      <c r="H764" s="159" t="s">
        <v>69</v>
      </c>
      <c r="I764" s="85"/>
    </row>
    <row r="765" ht="13.5" customHeight="1">
      <c r="A765" s="90">
        <v>761.0</v>
      </c>
      <c r="B765" s="146">
        <v>46018.0</v>
      </c>
      <c r="C765" s="78">
        <v>58.0</v>
      </c>
      <c r="D765" s="78">
        <v>111.0</v>
      </c>
      <c r="E765" s="164" t="s">
        <v>370</v>
      </c>
      <c r="F765" s="78" t="s">
        <v>285</v>
      </c>
      <c r="G765" s="146">
        <v>46021.0</v>
      </c>
      <c r="H765" s="159" t="s">
        <v>69</v>
      </c>
      <c r="I765" s="78" t="s">
        <v>327</v>
      </c>
    </row>
    <row r="766" ht="13.5" customHeight="1">
      <c r="A766" s="90">
        <v>762.0</v>
      </c>
      <c r="B766" s="146">
        <v>46018.0</v>
      </c>
      <c r="C766" s="78">
        <v>64.0</v>
      </c>
      <c r="D766" s="78">
        <v>20.0</v>
      </c>
      <c r="E766" s="164" t="s">
        <v>310</v>
      </c>
      <c r="F766" s="78" t="s">
        <v>285</v>
      </c>
      <c r="G766" s="146">
        <v>46020.0</v>
      </c>
      <c r="H766" s="159" t="s">
        <v>69</v>
      </c>
      <c r="I766" s="78" t="s">
        <v>384</v>
      </c>
    </row>
    <row r="767" ht="13.5" customHeight="1">
      <c r="A767" s="90">
        <v>763.0</v>
      </c>
      <c r="B767" s="146">
        <v>46018.0</v>
      </c>
      <c r="C767" s="78">
        <v>56.0</v>
      </c>
      <c r="D767" s="78">
        <v>131.0</v>
      </c>
      <c r="E767" s="164" t="s">
        <v>310</v>
      </c>
      <c r="F767" s="78" t="s">
        <v>285</v>
      </c>
      <c r="G767" s="146">
        <v>46019.0</v>
      </c>
      <c r="H767" s="159" t="s">
        <v>69</v>
      </c>
      <c r="I767" s="78" t="s">
        <v>384</v>
      </c>
    </row>
    <row r="768" ht="13.5" customHeight="1">
      <c r="A768" s="90">
        <v>764.0</v>
      </c>
      <c r="B768" s="146">
        <v>46018.0</v>
      </c>
      <c r="C768" s="164">
        <v>7.0</v>
      </c>
      <c r="D768" s="164">
        <v>74.0</v>
      </c>
      <c r="E768" s="164" t="s">
        <v>337</v>
      </c>
      <c r="F768" s="164" t="s">
        <v>309</v>
      </c>
      <c r="G768" s="146">
        <v>46018.0</v>
      </c>
      <c r="H768" s="159" t="s">
        <v>69</v>
      </c>
      <c r="I768" s="85"/>
    </row>
    <row r="769" ht="13.5" customHeight="1">
      <c r="A769" s="90">
        <v>765.0</v>
      </c>
      <c r="B769" s="146">
        <v>46018.0</v>
      </c>
      <c r="C769" s="164">
        <v>41.0</v>
      </c>
      <c r="D769" s="164">
        <v>33.0</v>
      </c>
      <c r="E769" s="164" t="s">
        <v>308</v>
      </c>
      <c r="F769" s="164" t="s">
        <v>309</v>
      </c>
      <c r="G769" s="146">
        <v>46018.0</v>
      </c>
      <c r="H769" s="159" t="s">
        <v>69</v>
      </c>
      <c r="I769" s="85"/>
    </row>
    <row r="770" ht="13.5" customHeight="1">
      <c r="A770" s="90">
        <v>766.0</v>
      </c>
      <c r="B770" s="146">
        <v>46018.0</v>
      </c>
      <c r="C770" s="164">
        <v>62.0</v>
      </c>
      <c r="D770" s="164">
        <v>1.0</v>
      </c>
      <c r="E770" s="164" t="s">
        <v>310</v>
      </c>
      <c r="F770" s="164" t="s">
        <v>309</v>
      </c>
      <c r="G770" s="146">
        <v>46018.0</v>
      </c>
      <c r="H770" s="159" t="s">
        <v>69</v>
      </c>
      <c r="I770" s="85"/>
    </row>
    <row r="771" ht="13.5" customHeight="1">
      <c r="A771" s="90">
        <v>767.0</v>
      </c>
      <c r="B771" s="146">
        <v>46018.0</v>
      </c>
      <c r="C771" s="164">
        <v>62.0</v>
      </c>
      <c r="D771" s="164">
        <v>35.0</v>
      </c>
      <c r="E771" s="164" t="s">
        <v>336</v>
      </c>
      <c r="F771" s="164" t="s">
        <v>309</v>
      </c>
      <c r="G771" s="146">
        <v>46018.0</v>
      </c>
      <c r="H771" s="159" t="s">
        <v>69</v>
      </c>
      <c r="I771" s="85"/>
    </row>
    <row r="772" ht="13.5" customHeight="1">
      <c r="A772" s="90">
        <v>768.0</v>
      </c>
      <c r="B772" s="146">
        <v>46018.0</v>
      </c>
      <c r="C772" s="164">
        <v>82.0</v>
      </c>
      <c r="D772" s="164">
        <v>30.0</v>
      </c>
      <c r="E772" s="164" t="s">
        <v>337</v>
      </c>
      <c r="F772" s="164" t="s">
        <v>309</v>
      </c>
      <c r="G772" s="146">
        <v>46018.0</v>
      </c>
      <c r="H772" s="159" t="s">
        <v>69</v>
      </c>
      <c r="I772" s="85"/>
    </row>
    <row r="773" ht="13.5" customHeight="1">
      <c r="A773" s="90">
        <v>769.0</v>
      </c>
      <c r="B773" s="146">
        <v>46018.0</v>
      </c>
      <c r="C773" s="164">
        <v>86.0</v>
      </c>
      <c r="D773" s="164">
        <v>95.0</v>
      </c>
      <c r="E773" s="164" t="s">
        <v>337</v>
      </c>
      <c r="F773" s="164" t="s">
        <v>309</v>
      </c>
      <c r="G773" s="146">
        <v>46018.0</v>
      </c>
      <c r="H773" s="159" t="s">
        <v>69</v>
      </c>
      <c r="I773" s="85"/>
    </row>
    <row r="774" ht="13.5" customHeight="1">
      <c r="A774" s="90">
        <v>770.0</v>
      </c>
      <c r="B774" s="146">
        <v>46018.0</v>
      </c>
      <c r="C774" s="164">
        <v>106.0</v>
      </c>
      <c r="D774" s="164">
        <v>94.0</v>
      </c>
      <c r="E774" s="164" t="s">
        <v>323</v>
      </c>
      <c r="F774" s="164" t="s">
        <v>309</v>
      </c>
      <c r="G774" s="146">
        <v>46018.0</v>
      </c>
      <c r="H774" s="159" t="s">
        <v>69</v>
      </c>
      <c r="I774" s="85"/>
    </row>
    <row r="775" ht="13.5" customHeight="1">
      <c r="A775" s="90">
        <v>771.0</v>
      </c>
      <c r="B775" s="146">
        <v>46018.0</v>
      </c>
      <c r="C775" s="164">
        <v>120.0</v>
      </c>
      <c r="D775" s="164">
        <v>95.0</v>
      </c>
      <c r="E775" s="164" t="s">
        <v>323</v>
      </c>
      <c r="F775" s="164" t="s">
        <v>309</v>
      </c>
      <c r="G775" s="146">
        <v>46018.0</v>
      </c>
      <c r="H775" s="159" t="s">
        <v>69</v>
      </c>
      <c r="I775" s="85"/>
    </row>
    <row r="776" ht="13.5" customHeight="1">
      <c r="A776" s="90">
        <v>772.0</v>
      </c>
      <c r="B776" s="146">
        <v>46019.0</v>
      </c>
      <c r="C776" s="164">
        <v>26.0</v>
      </c>
      <c r="D776" s="164">
        <v>93.0</v>
      </c>
      <c r="E776" s="164" t="s">
        <v>323</v>
      </c>
      <c r="F776" s="164" t="s">
        <v>328</v>
      </c>
      <c r="G776" s="146">
        <v>46022.0</v>
      </c>
      <c r="H776" s="159" t="s">
        <v>69</v>
      </c>
      <c r="I776" s="164" t="s">
        <v>319</v>
      </c>
    </row>
    <row r="777" ht="13.5" customHeight="1">
      <c r="A777" s="90">
        <v>773.0</v>
      </c>
      <c r="B777" s="146">
        <v>46019.0</v>
      </c>
      <c r="C777" s="164">
        <v>56.0</v>
      </c>
      <c r="D777" s="164">
        <v>132.0</v>
      </c>
      <c r="E777" s="164" t="s">
        <v>322</v>
      </c>
      <c r="F777" s="164" t="s">
        <v>285</v>
      </c>
      <c r="G777" s="146">
        <v>46020.0</v>
      </c>
      <c r="H777" s="159" t="s">
        <v>69</v>
      </c>
      <c r="I777" s="164" t="s">
        <v>340</v>
      </c>
    </row>
    <row r="778" ht="13.5" customHeight="1">
      <c r="A778" s="90">
        <v>774.0</v>
      </c>
      <c r="B778" s="146">
        <v>46019.0</v>
      </c>
      <c r="C778" s="164">
        <v>78.0</v>
      </c>
      <c r="D778" s="164">
        <v>122.0</v>
      </c>
      <c r="E778" s="164" t="s">
        <v>322</v>
      </c>
      <c r="F778" s="164" t="s">
        <v>285</v>
      </c>
      <c r="G778" s="146">
        <v>46021.0</v>
      </c>
      <c r="H778" s="159" t="s">
        <v>69</v>
      </c>
      <c r="I778" s="164" t="s">
        <v>319</v>
      </c>
    </row>
    <row r="779" ht="13.5" customHeight="1">
      <c r="A779" s="90">
        <v>775.0</v>
      </c>
      <c r="B779" s="146">
        <v>46019.0</v>
      </c>
      <c r="C779" s="164">
        <v>4.0</v>
      </c>
      <c r="D779" s="164">
        <v>35.0</v>
      </c>
      <c r="E779" s="164" t="s">
        <v>337</v>
      </c>
      <c r="F779" s="164" t="s">
        <v>309</v>
      </c>
      <c r="G779" s="146">
        <v>46019.0</v>
      </c>
      <c r="H779" s="159" t="s">
        <v>69</v>
      </c>
      <c r="I779" s="85"/>
    </row>
    <row r="780" ht="13.5" customHeight="1">
      <c r="A780" s="90">
        <v>776.0</v>
      </c>
      <c r="B780" s="146">
        <v>46019.0</v>
      </c>
      <c r="C780" s="164">
        <v>13.0</v>
      </c>
      <c r="D780" s="164">
        <v>61.0</v>
      </c>
      <c r="E780" s="164" t="s">
        <v>310</v>
      </c>
      <c r="F780" s="164" t="s">
        <v>309</v>
      </c>
      <c r="G780" s="146">
        <v>46019.0</v>
      </c>
      <c r="H780" s="159" t="s">
        <v>69</v>
      </c>
      <c r="I780" s="85"/>
    </row>
    <row r="781" ht="13.5" customHeight="1">
      <c r="A781" s="90">
        <v>777.0</v>
      </c>
      <c r="B781" s="146">
        <v>46019.0</v>
      </c>
      <c r="C781" s="164">
        <v>41.0</v>
      </c>
      <c r="D781" s="164">
        <v>32.0</v>
      </c>
      <c r="E781" s="164" t="s">
        <v>323</v>
      </c>
      <c r="F781" s="164" t="s">
        <v>309</v>
      </c>
      <c r="G781" s="146">
        <v>46019.0</v>
      </c>
      <c r="H781" s="159" t="s">
        <v>69</v>
      </c>
      <c r="I781" s="85"/>
    </row>
    <row r="782" ht="13.5" customHeight="1">
      <c r="A782" s="90">
        <v>778.0</v>
      </c>
      <c r="B782" s="146">
        <v>46019.0</v>
      </c>
      <c r="C782" s="164">
        <v>76.0</v>
      </c>
      <c r="D782" s="164">
        <v>106.0</v>
      </c>
      <c r="E782" s="164" t="s">
        <v>323</v>
      </c>
      <c r="F782" s="164" t="s">
        <v>309</v>
      </c>
      <c r="G782" s="146">
        <v>46019.0</v>
      </c>
      <c r="H782" s="159" t="s">
        <v>69</v>
      </c>
      <c r="I782" s="85"/>
    </row>
    <row r="783" ht="13.5" customHeight="1">
      <c r="A783" s="90">
        <v>779.0</v>
      </c>
      <c r="B783" s="146">
        <v>46019.0</v>
      </c>
      <c r="C783" s="164">
        <v>83.0</v>
      </c>
      <c r="D783" s="164">
        <v>143.0</v>
      </c>
      <c r="E783" s="164" t="s">
        <v>310</v>
      </c>
      <c r="F783" s="164" t="s">
        <v>309</v>
      </c>
      <c r="G783" s="146">
        <v>46019.0</v>
      </c>
      <c r="H783" s="159" t="s">
        <v>69</v>
      </c>
      <c r="I783" s="85"/>
    </row>
    <row r="784" ht="13.5" customHeight="1">
      <c r="A784" s="90">
        <v>780.0</v>
      </c>
      <c r="B784" s="146">
        <v>46019.0</v>
      </c>
      <c r="C784" s="164">
        <v>104.0</v>
      </c>
      <c r="D784" s="164">
        <v>34.0</v>
      </c>
      <c r="E784" s="164" t="s">
        <v>313</v>
      </c>
      <c r="F784" s="164" t="s">
        <v>309</v>
      </c>
      <c r="G784" s="146">
        <v>46019.0</v>
      </c>
      <c r="H784" s="159" t="s">
        <v>69</v>
      </c>
      <c r="I784" s="85"/>
    </row>
    <row r="785" ht="13.5" customHeight="1">
      <c r="A785" s="90">
        <v>781.0</v>
      </c>
      <c r="B785" s="146">
        <v>46019.0</v>
      </c>
      <c r="C785" s="164">
        <v>104.0</v>
      </c>
      <c r="D785" s="164">
        <v>40.0</v>
      </c>
      <c r="E785" s="164" t="s">
        <v>313</v>
      </c>
      <c r="F785" s="164" t="s">
        <v>309</v>
      </c>
      <c r="G785" s="146">
        <v>46019.0</v>
      </c>
      <c r="H785" s="159" t="s">
        <v>69</v>
      </c>
      <c r="I785" s="85"/>
    </row>
    <row r="786" ht="13.5" customHeight="1">
      <c r="A786" s="90">
        <v>782.0</v>
      </c>
      <c r="B786" s="146">
        <v>46019.0</v>
      </c>
      <c r="C786" s="164">
        <v>106.0</v>
      </c>
      <c r="D786" s="164">
        <v>94.0</v>
      </c>
      <c r="E786" s="164" t="s">
        <v>323</v>
      </c>
      <c r="F786" s="164" t="s">
        <v>309</v>
      </c>
      <c r="G786" s="146">
        <v>46019.0</v>
      </c>
      <c r="H786" s="159" t="s">
        <v>69</v>
      </c>
      <c r="I786" s="85"/>
    </row>
    <row r="787" ht="13.5" customHeight="1">
      <c r="A787" s="90">
        <v>783.0</v>
      </c>
      <c r="B787" s="146">
        <v>46020.0</v>
      </c>
      <c r="C787" s="78">
        <v>37.0</v>
      </c>
      <c r="D787" s="78">
        <v>27.0</v>
      </c>
      <c r="E787" s="164" t="s">
        <v>336</v>
      </c>
      <c r="F787" s="78" t="s">
        <v>285</v>
      </c>
      <c r="G787" s="146">
        <v>46023.0</v>
      </c>
      <c r="H787" s="159" t="s">
        <v>69</v>
      </c>
      <c r="I787" s="78" t="s">
        <v>333</v>
      </c>
    </row>
    <row r="788" ht="13.5" customHeight="1">
      <c r="A788" s="90">
        <v>784.0</v>
      </c>
      <c r="B788" s="146">
        <v>46020.0</v>
      </c>
      <c r="C788" s="78">
        <v>119.0</v>
      </c>
      <c r="D788" s="78">
        <v>72.0</v>
      </c>
      <c r="E788" s="164" t="s">
        <v>310</v>
      </c>
      <c r="F788" s="78" t="s">
        <v>314</v>
      </c>
      <c r="G788" s="146">
        <v>46023.0</v>
      </c>
      <c r="H788" s="159" t="s">
        <v>69</v>
      </c>
      <c r="I788" s="78" t="s">
        <v>332</v>
      </c>
    </row>
    <row r="789" ht="13.5" customHeight="1">
      <c r="A789" s="90">
        <v>785.0</v>
      </c>
      <c r="B789" s="146">
        <v>46020.0</v>
      </c>
      <c r="C789" s="164">
        <v>7.0</v>
      </c>
      <c r="D789" s="164">
        <v>74.0</v>
      </c>
      <c r="E789" s="164" t="s">
        <v>337</v>
      </c>
      <c r="F789" s="164" t="s">
        <v>324</v>
      </c>
      <c r="G789" s="146">
        <v>46020.0</v>
      </c>
      <c r="H789" s="159" t="s">
        <v>69</v>
      </c>
      <c r="I789" s="85"/>
    </row>
    <row r="790" ht="13.5" customHeight="1">
      <c r="A790" s="90">
        <v>786.0</v>
      </c>
      <c r="B790" s="146">
        <v>46020.0</v>
      </c>
      <c r="C790" s="164">
        <v>29.0</v>
      </c>
      <c r="D790" s="164">
        <v>32.0</v>
      </c>
      <c r="E790" s="164" t="s">
        <v>335</v>
      </c>
      <c r="F790" s="164" t="s">
        <v>324</v>
      </c>
      <c r="G790" s="146">
        <v>46020.0</v>
      </c>
      <c r="H790" s="159" t="s">
        <v>69</v>
      </c>
      <c r="I790" s="85"/>
    </row>
    <row r="791" ht="13.5" customHeight="1">
      <c r="A791" s="90">
        <v>787.0</v>
      </c>
      <c r="B791" s="146">
        <v>46020.0</v>
      </c>
      <c r="C791" s="164">
        <v>50.0</v>
      </c>
      <c r="D791" s="164">
        <v>36.0</v>
      </c>
      <c r="E791" s="164" t="s">
        <v>323</v>
      </c>
      <c r="F791" s="164" t="s">
        <v>324</v>
      </c>
      <c r="G791" s="146">
        <v>46020.0</v>
      </c>
      <c r="H791" s="159" t="s">
        <v>69</v>
      </c>
      <c r="I791" s="85"/>
    </row>
    <row r="792" ht="13.5" customHeight="1">
      <c r="A792" s="90">
        <v>788.0</v>
      </c>
      <c r="B792" s="146">
        <v>46020.0</v>
      </c>
      <c r="C792" s="164">
        <v>56.0</v>
      </c>
      <c r="D792" s="164">
        <v>9.0</v>
      </c>
      <c r="E792" s="164" t="s">
        <v>337</v>
      </c>
      <c r="F792" s="164" t="s">
        <v>309</v>
      </c>
      <c r="G792" s="146">
        <v>46020.0</v>
      </c>
      <c r="H792" s="159" t="s">
        <v>69</v>
      </c>
      <c r="I792" s="85"/>
    </row>
    <row r="793" ht="13.5" customHeight="1">
      <c r="A793" s="90">
        <v>789.0</v>
      </c>
      <c r="B793" s="146">
        <v>46020.0</v>
      </c>
      <c r="C793" s="164">
        <v>56.0</v>
      </c>
      <c r="D793" s="164">
        <v>11.0</v>
      </c>
      <c r="E793" s="164" t="s">
        <v>337</v>
      </c>
      <c r="F793" s="164" t="s">
        <v>309</v>
      </c>
      <c r="G793" s="146">
        <v>46020.0</v>
      </c>
      <c r="H793" s="159" t="s">
        <v>69</v>
      </c>
      <c r="I793" s="85"/>
    </row>
    <row r="794" ht="13.5" customHeight="1">
      <c r="A794" s="90">
        <v>790.0</v>
      </c>
      <c r="B794" s="146">
        <v>46020.0</v>
      </c>
      <c r="C794" s="164">
        <v>56.0</v>
      </c>
      <c r="D794" s="164">
        <v>12.0</v>
      </c>
      <c r="E794" s="164" t="s">
        <v>337</v>
      </c>
      <c r="F794" s="164" t="s">
        <v>309</v>
      </c>
      <c r="G794" s="146">
        <v>46020.0</v>
      </c>
      <c r="H794" s="159" t="s">
        <v>69</v>
      </c>
      <c r="I794" s="85"/>
    </row>
    <row r="795" ht="13.5" customHeight="1">
      <c r="A795" s="90">
        <v>791.0</v>
      </c>
      <c r="B795" s="146">
        <v>46020.0</v>
      </c>
      <c r="C795" s="164">
        <v>56.0</v>
      </c>
      <c r="D795" s="164">
        <v>33.0</v>
      </c>
      <c r="E795" s="164" t="s">
        <v>337</v>
      </c>
      <c r="F795" s="164" t="s">
        <v>309</v>
      </c>
      <c r="G795" s="146">
        <v>46020.0</v>
      </c>
      <c r="H795" s="159" t="s">
        <v>69</v>
      </c>
      <c r="I795" s="85"/>
    </row>
    <row r="796" ht="13.5" customHeight="1">
      <c r="A796" s="90">
        <v>792.0</v>
      </c>
      <c r="B796" s="146">
        <v>46020.0</v>
      </c>
      <c r="C796" s="164">
        <v>56.0</v>
      </c>
      <c r="D796" s="164">
        <v>55.0</v>
      </c>
      <c r="E796" s="164" t="s">
        <v>337</v>
      </c>
      <c r="F796" s="164" t="s">
        <v>309</v>
      </c>
      <c r="G796" s="146">
        <v>46020.0</v>
      </c>
      <c r="H796" s="159" t="s">
        <v>69</v>
      </c>
      <c r="I796" s="85"/>
    </row>
    <row r="797" ht="13.5" customHeight="1">
      <c r="A797" s="90">
        <v>793.0</v>
      </c>
      <c r="B797" s="146">
        <v>46020.0</v>
      </c>
      <c r="C797" s="164">
        <v>56.0</v>
      </c>
      <c r="D797" s="164">
        <v>57.0</v>
      </c>
      <c r="E797" s="164" t="s">
        <v>337</v>
      </c>
      <c r="F797" s="164" t="s">
        <v>309</v>
      </c>
      <c r="G797" s="146">
        <v>46020.0</v>
      </c>
      <c r="H797" s="159" t="s">
        <v>69</v>
      </c>
      <c r="I797" s="85"/>
    </row>
    <row r="798" ht="13.5" customHeight="1">
      <c r="A798" s="90">
        <v>794.0</v>
      </c>
      <c r="B798" s="146">
        <v>46020.0</v>
      </c>
      <c r="C798" s="164">
        <v>56.0</v>
      </c>
      <c r="D798" s="164">
        <v>58.0</v>
      </c>
      <c r="E798" s="164" t="s">
        <v>337</v>
      </c>
      <c r="F798" s="164" t="s">
        <v>309</v>
      </c>
      <c r="G798" s="146">
        <v>46020.0</v>
      </c>
      <c r="H798" s="159" t="s">
        <v>69</v>
      </c>
      <c r="I798" s="85"/>
    </row>
    <row r="799" ht="13.5" customHeight="1">
      <c r="A799" s="90">
        <v>795.0</v>
      </c>
      <c r="B799" s="146">
        <v>46020.0</v>
      </c>
      <c r="C799" s="164">
        <v>56.0</v>
      </c>
      <c r="D799" s="164">
        <v>62.0</v>
      </c>
      <c r="E799" s="164" t="s">
        <v>337</v>
      </c>
      <c r="F799" s="164" t="s">
        <v>309</v>
      </c>
      <c r="G799" s="146">
        <v>46020.0</v>
      </c>
      <c r="H799" s="159" t="s">
        <v>69</v>
      </c>
      <c r="I799" s="85"/>
    </row>
    <row r="800" ht="13.5" customHeight="1">
      <c r="A800" s="90">
        <v>796.0</v>
      </c>
      <c r="B800" s="146">
        <v>46020.0</v>
      </c>
      <c r="C800" s="164">
        <v>56.0</v>
      </c>
      <c r="D800" s="164">
        <v>83.0</v>
      </c>
      <c r="E800" s="164" t="s">
        <v>337</v>
      </c>
      <c r="F800" s="164" t="s">
        <v>309</v>
      </c>
      <c r="G800" s="146">
        <v>46020.0</v>
      </c>
      <c r="H800" s="159" t="s">
        <v>69</v>
      </c>
      <c r="I800" s="85"/>
    </row>
    <row r="801" ht="13.5" customHeight="1">
      <c r="A801" s="90">
        <v>797.0</v>
      </c>
      <c r="B801" s="146">
        <v>46020.0</v>
      </c>
      <c r="C801" s="164">
        <v>56.0</v>
      </c>
      <c r="D801" s="164">
        <v>99.0</v>
      </c>
      <c r="E801" s="164" t="s">
        <v>337</v>
      </c>
      <c r="F801" s="164" t="s">
        <v>309</v>
      </c>
      <c r="G801" s="146">
        <v>46020.0</v>
      </c>
      <c r="H801" s="159" t="s">
        <v>69</v>
      </c>
      <c r="I801" s="85"/>
    </row>
    <row r="802" ht="13.5" customHeight="1">
      <c r="A802" s="90">
        <v>798.0</v>
      </c>
      <c r="B802" s="146">
        <v>46020.0</v>
      </c>
      <c r="C802" s="164">
        <v>56.0</v>
      </c>
      <c r="D802" s="164">
        <v>108.0</v>
      </c>
      <c r="E802" s="164" t="s">
        <v>337</v>
      </c>
      <c r="F802" s="164" t="s">
        <v>309</v>
      </c>
      <c r="G802" s="146">
        <v>46020.0</v>
      </c>
      <c r="H802" s="159" t="s">
        <v>69</v>
      </c>
      <c r="I802" s="85"/>
    </row>
    <row r="803" ht="13.5" customHeight="1">
      <c r="A803" s="90">
        <v>799.0</v>
      </c>
      <c r="B803" s="146">
        <v>46020.0</v>
      </c>
      <c r="C803" s="164">
        <v>56.0</v>
      </c>
      <c r="D803" s="164">
        <v>128.0</v>
      </c>
      <c r="E803" s="164" t="s">
        <v>337</v>
      </c>
      <c r="F803" s="164" t="s">
        <v>309</v>
      </c>
      <c r="G803" s="146">
        <v>46020.0</v>
      </c>
      <c r="H803" s="159" t="s">
        <v>69</v>
      </c>
      <c r="I803" s="85"/>
    </row>
    <row r="804" ht="13.5" customHeight="1">
      <c r="A804" s="90">
        <v>800.0</v>
      </c>
      <c r="B804" s="146">
        <v>46020.0</v>
      </c>
      <c r="C804" s="164">
        <v>56.0</v>
      </c>
      <c r="D804" s="164">
        <v>131.0</v>
      </c>
      <c r="E804" s="164" t="s">
        <v>337</v>
      </c>
      <c r="F804" s="164" t="s">
        <v>309</v>
      </c>
      <c r="G804" s="146">
        <v>46020.0</v>
      </c>
      <c r="H804" s="159" t="s">
        <v>69</v>
      </c>
      <c r="I804" s="85"/>
    </row>
    <row r="805" ht="13.5" customHeight="1">
      <c r="A805" s="90">
        <v>801.0</v>
      </c>
      <c r="B805" s="146">
        <v>46020.0</v>
      </c>
      <c r="C805" s="164">
        <v>59.0</v>
      </c>
      <c r="D805" s="164">
        <v>103.0</v>
      </c>
      <c r="E805" s="164" t="s">
        <v>322</v>
      </c>
      <c r="F805" s="164" t="s">
        <v>320</v>
      </c>
      <c r="G805" s="146">
        <v>46020.0</v>
      </c>
      <c r="H805" s="159" t="s">
        <v>69</v>
      </c>
      <c r="I805" s="85"/>
    </row>
    <row r="806" ht="13.5" customHeight="1">
      <c r="A806" s="90">
        <v>802.0</v>
      </c>
      <c r="B806" s="146">
        <v>46020.0</v>
      </c>
      <c r="C806" s="164">
        <v>62.0</v>
      </c>
      <c r="D806" s="164">
        <v>35.0</v>
      </c>
      <c r="E806" s="164" t="s">
        <v>322</v>
      </c>
      <c r="F806" s="164" t="s">
        <v>320</v>
      </c>
      <c r="G806" s="146">
        <v>46020.0</v>
      </c>
      <c r="H806" s="159" t="s">
        <v>69</v>
      </c>
      <c r="I806" s="85"/>
    </row>
    <row r="807" ht="13.5" customHeight="1">
      <c r="A807" s="90">
        <v>803.0</v>
      </c>
      <c r="B807" s="146">
        <v>46020.0</v>
      </c>
      <c r="C807" s="164">
        <v>64.0</v>
      </c>
      <c r="D807" s="164">
        <v>20.0</v>
      </c>
      <c r="E807" s="164" t="s">
        <v>322</v>
      </c>
      <c r="F807" s="164" t="s">
        <v>320</v>
      </c>
      <c r="G807" s="146">
        <v>46020.0</v>
      </c>
      <c r="H807" s="159" t="s">
        <v>69</v>
      </c>
      <c r="I807" s="85"/>
    </row>
    <row r="808" ht="13.5" customHeight="1">
      <c r="A808" s="90">
        <v>804.0</v>
      </c>
      <c r="B808" s="146">
        <v>46020.0</v>
      </c>
      <c r="C808" s="164">
        <v>81.0</v>
      </c>
      <c r="D808" s="164">
        <v>66.0</v>
      </c>
      <c r="E808" s="164" t="s">
        <v>335</v>
      </c>
      <c r="F808" s="164" t="s">
        <v>324</v>
      </c>
      <c r="G808" s="146">
        <v>46020.0</v>
      </c>
      <c r="H808" s="159" t="s">
        <v>69</v>
      </c>
      <c r="I808" s="85"/>
    </row>
    <row r="809" ht="13.5" customHeight="1">
      <c r="A809" s="90">
        <v>805.0</v>
      </c>
      <c r="B809" s="146">
        <v>46020.0</v>
      </c>
      <c r="C809" s="164">
        <v>91.0</v>
      </c>
      <c r="D809" s="164">
        <v>36.0</v>
      </c>
      <c r="E809" s="164" t="s">
        <v>322</v>
      </c>
      <c r="F809" s="164" t="s">
        <v>320</v>
      </c>
      <c r="G809" s="146">
        <v>46020.0</v>
      </c>
      <c r="H809" s="159" t="s">
        <v>69</v>
      </c>
      <c r="I809" s="85"/>
    </row>
    <row r="810" ht="13.5" customHeight="1">
      <c r="A810" s="90">
        <v>806.0</v>
      </c>
      <c r="B810" s="146">
        <v>46020.0</v>
      </c>
      <c r="C810" s="164">
        <v>91.0</v>
      </c>
      <c r="D810" s="164">
        <v>110.0</v>
      </c>
      <c r="E810" s="164" t="s">
        <v>337</v>
      </c>
      <c r="F810" s="164" t="s">
        <v>324</v>
      </c>
      <c r="G810" s="146">
        <v>46020.0</v>
      </c>
      <c r="H810" s="159" t="s">
        <v>69</v>
      </c>
      <c r="I810" s="85"/>
    </row>
    <row r="811" ht="13.5" customHeight="1">
      <c r="A811" s="90">
        <v>807.0</v>
      </c>
      <c r="B811" s="146">
        <v>46020.0</v>
      </c>
      <c r="C811" s="164">
        <v>107.0</v>
      </c>
      <c r="D811" s="164">
        <v>55.0</v>
      </c>
      <c r="E811" s="164" t="s">
        <v>323</v>
      </c>
      <c r="F811" s="164" t="s">
        <v>324</v>
      </c>
      <c r="G811" s="146">
        <v>46020.0</v>
      </c>
      <c r="H811" s="159" t="s">
        <v>69</v>
      </c>
      <c r="I811" s="85"/>
    </row>
    <row r="812" ht="13.5" customHeight="1">
      <c r="A812" s="90">
        <v>808.0</v>
      </c>
      <c r="B812" s="146">
        <v>46020.0</v>
      </c>
      <c r="C812" s="164">
        <v>119.0</v>
      </c>
      <c r="D812" s="164">
        <v>49.0</v>
      </c>
      <c r="E812" s="164" t="s">
        <v>323</v>
      </c>
      <c r="F812" s="164" t="s">
        <v>324</v>
      </c>
      <c r="G812" s="146">
        <v>46020.0</v>
      </c>
      <c r="H812" s="159" t="s">
        <v>69</v>
      </c>
      <c r="I812" s="85"/>
    </row>
    <row r="813" ht="13.5" customHeight="1">
      <c r="A813" s="90">
        <v>809.0</v>
      </c>
      <c r="B813" s="146">
        <v>46021.0</v>
      </c>
      <c r="C813" s="164">
        <v>19.0</v>
      </c>
      <c r="D813" s="164">
        <v>20.0</v>
      </c>
      <c r="E813" s="164" t="s">
        <v>310</v>
      </c>
      <c r="F813" s="164" t="s">
        <v>324</v>
      </c>
      <c r="G813" s="146">
        <v>46021.0</v>
      </c>
      <c r="H813" s="159" t="s">
        <v>69</v>
      </c>
      <c r="I813" s="85"/>
    </row>
    <row r="814" ht="13.5" customHeight="1">
      <c r="A814" s="90">
        <v>810.0</v>
      </c>
      <c r="B814" s="146">
        <v>46021.0</v>
      </c>
      <c r="C814" s="164">
        <v>29.0</v>
      </c>
      <c r="D814" s="164">
        <v>33.0</v>
      </c>
      <c r="E814" s="164" t="s">
        <v>335</v>
      </c>
      <c r="F814" s="164" t="s">
        <v>324</v>
      </c>
      <c r="G814" s="146">
        <v>46021.0</v>
      </c>
      <c r="H814" s="159" t="s">
        <v>69</v>
      </c>
      <c r="I814" s="85"/>
    </row>
    <row r="815" ht="13.5" customHeight="1">
      <c r="A815" s="90">
        <v>811.0</v>
      </c>
      <c r="B815" s="146">
        <v>46021.0</v>
      </c>
      <c r="C815" s="164">
        <v>43.0</v>
      </c>
      <c r="D815" s="164">
        <v>18.0</v>
      </c>
      <c r="E815" s="164" t="s">
        <v>310</v>
      </c>
      <c r="F815" s="164" t="s">
        <v>324</v>
      </c>
      <c r="G815" s="146">
        <v>46021.0</v>
      </c>
      <c r="H815" s="159" t="s">
        <v>69</v>
      </c>
      <c r="I815" s="85"/>
    </row>
    <row r="816" ht="13.5" customHeight="1">
      <c r="A816" s="90">
        <v>812.0</v>
      </c>
      <c r="B816" s="146">
        <v>46021.0</v>
      </c>
      <c r="C816" s="164">
        <v>56.0</v>
      </c>
      <c r="D816" s="164">
        <v>125.0</v>
      </c>
      <c r="E816" s="164" t="s">
        <v>322</v>
      </c>
      <c r="F816" s="164" t="s">
        <v>320</v>
      </c>
      <c r="G816" s="146">
        <v>46021.0</v>
      </c>
      <c r="H816" s="159" t="s">
        <v>69</v>
      </c>
      <c r="I816" s="85"/>
    </row>
    <row r="817" ht="13.5" customHeight="1">
      <c r="A817" s="90">
        <v>813.0</v>
      </c>
      <c r="B817" s="146">
        <v>46021.0</v>
      </c>
      <c r="C817" s="164">
        <v>64.0</v>
      </c>
      <c r="D817" s="164">
        <v>101.0</v>
      </c>
      <c r="E817" s="164" t="s">
        <v>370</v>
      </c>
      <c r="F817" s="164" t="s">
        <v>324</v>
      </c>
      <c r="G817" s="146">
        <v>46021.0</v>
      </c>
      <c r="H817" s="159" t="s">
        <v>69</v>
      </c>
      <c r="I817" s="85"/>
    </row>
    <row r="818" ht="13.5" customHeight="1">
      <c r="A818" s="90">
        <v>814.0</v>
      </c>
      <c r="B818" s="146">
        <v>46021.0</v>
      </c>
      <c r="C818" s="164">
        <v>66.0</v>
      </c>
      <c r="D818" s="164">
        <v>148.0</v>
      </c>
      <c r="E818" s="164" t="s">
        <v>335</v>
      </c>
      <c r="F818" s="164" t="s">
        <v>324</v>
      </c>
      <c r="G818" s="146">
        <v>46021.0</v>
      </c>
      <c r="H818" s="159" t="s">
        <v>69</v>
      </c>
      <c r="I818" s="85"/>
    </row>
    <row r="819" ht="13.5" customHeight="1">
      <c r="A819" s="90">
        <v>815.0</v>
      </c>
      <c r="B819" s="146">
        <v>46021.0</v>
      </c>
      <c r="C819" s="164">
        <v>74.0</v>
      </c>
      <c r="D819" s="164">
        <v>10.0</v>
      </c>
      <c r="E819" s="164" t="s">
        <v>313</v>
      </c>
      <c r="F819" s="164" t="s">
        <v>324</v>
      </c>
      <c r="G819" s="146">
        <v>46021.0</v>
      </c>
      <c r="H819" s="159" t="s">
        <v>69</v>
      </c>
      <c r="I819" s="85"/>
    </row>
    <row r="820" ht="13.5" customHeight="1">
      <c r="A820" s="90">
        <v>816.0</v>
      </c>
      <c r="B820" s="146">
        <v>46021.0</v>
      </c>
      <c r="C820" s="164">
        <v>74.0</v>
      </c>
      <c r="D820" s="164">
        <v>19.0</v>
      </c>
      <c r="E820" s="164" t="s">
        <v>313</v>
      </c>
      <c r="F820" s="164" t="s">
        <v>324</v>
      </c>
      <c r="G820" s="146">
        <v>46021.0</v>
      </c>
      <c r="H820" s="159" t="s">
        <v>69</v>
      </c>
      <c r="I820" s="85"/>
    </row>
    <row r="821" ht="13.5" customHeight="1">
      <c r="A821" s="90">
        <v>817.0</v>
      </c>
      <c r="B821" s="146">
        <v>46021.0</v>
      </c>
      <c r="C821" s="164">
        <v>74.0</v>
      </c>
      <c r="D821" s="164">
        <v>21.0</v>
      </c>
      <c r="E821" s="164" t="s">
        <v>313</v>
      </c>
      <c r="F821" s="164" t="s">
        <v>324</v>
      </c>
      <c r="G821" s="146">
        <v>46021.0</v>
      </c>
      <c r="H821" s="159" t="s">
        <v>69</v>
      </c>
      <c r="I821" s="85"/>
    </row>
    <row r="822" ht="13.5" customHeight="1">
      <c r="A822" s="90">
        <v>818.0</v>
      </c>
      <c r="B822" s="146">
        <v>46021.0</v>
      </c>
      <c r="C822" s="164">
        <v>74.0</v>
      </c>
      <c r="D822" s="164">
        <v>23.0</v>
      </c>
      <c r="E822" s="164" t="s">
        <v>313</v>
      </c>
      <c r="F822" s="164" t="s">
        <v>324</v>
      </c>
      <c r="G822" s="146">
        <v>46021.0</v>
      </c>
      <c r="H822" s="159" t="s">
        <v>69</v>
      </c>
      <c r="I822" s="85"/>
    </row>
    <row r="823" ht="13.5" customHeight="1">
      <c r="A823" s="90">
        <v>819.0</v>
      </c>
      <c r="B823" s="146">
        <v>46021.0</v>
      </c>
      <c r="C823" s="164">
        <v>74.0</v>
      </c>
      <c r="D823" s="164">
        <v>31.0</v>
      </c>
      <c r="E823" s="164" t="s">
        <v>313</v>
      </c>
      <c r="F823" s="164" t="s">
        <v>324</v>
      </c>
      <c r="G823" s="146">
        <v>46021.0</v>
      </c>
      <c r="H823" s="159" t="s">
        <v>69</v>
      </c>
      <c r="I823" s="85"/>
    </row>
    <row r="824" ht="13.5" customHeight="1">
      <c r="A824" s="90">
        <v>820.0</v>
      </c>
      <c r="B824" s="146">
        <v>46021.0</v>
      </c>
      <c r="C824" s="164">
        <v>74.0</v>
      </c>
      <c r="D824" s="164">
        <v>33.0</v>
      </c>
      <c r="E824" s="164" t="s">
        <v>313</v>
      </c>
      <c r="F824" s="164" t="s">
        <v>324</v>
      </c>
      <c r="G824" s="146">
        <v>46021.0</v>
      </c>
      <c r="H824" s="159" t="s">
        <v>69</v>
      </c>
      <c r="I824" s="85"/>
    </row>
    <row r="825" ht="13.5" customHeight="1">
      <c r="A825" s="90">
        <v>821.0</v>
      </c>
      <c r="B825" s="146">
        <v>46021.0</v>
      </c>
      <c r="C825" s="164">
        <v>74.0</v>
      </c>
      <c r="D825" s="164">
        <v>35.0</v>
      </c>
      <c r="E825" s="164" t="s">
        <v>313</v>
      </c>
      <c r="F825" s="164" t="s">
        <v>324</v>
      </c>
      <c r="G825" s="146">
        <v>46021.0</v>
      </c>
      <c r="H825" s="159" t="s">
        <v>69</v>
      </c>
      <c r="I825" s="85"/>
    </row>
    <row r="826" ht="13.5" customHeight="1">
      <c r="A826" s="90">
        <v>822.0</v>
      </c>
      <c r="B826" s="146">
        <v>46021.0</v>
      </c>
      <c r="C826" s="164">
        <v>74.0</v>
      </c>
      <c r="D826" s="164">
        <v>116.0</v>
      </c>
      <c r="E826" s="164" t="s">
        <v>313</v>
      </c>
      <c r="F826" s="164" t="s">
        <v>324</v>
      </c>
      <c r="G826" s="146">
        <v>46021.0</v>
      </c>
      <c r="H826" s="159" t="s">
        <v>69</v>
      </c>
      <c r="I826" s="85"/>
    </row>
    <row r="827" ht="13.5" customHeight="1">
      <c r="A827" s="90">
        <v>823.0</v>
      </c>
      <c r="B827" s="146">
        <v>46021.0</v>
      </c>
      <c r="C827" s="164">
        <v>74.0</v>
      </c>
      <c r="D827" s="164">
        <v>128.0</v>
      </c>
      <c r="E827" s="164" t="s">
        <v>322</v>
      </c>
      <c r="F827" s="164" t="s">
        <v>320</v>
      </c>
      <c r="G827" s="146">
        <v>46021.0</v>
      </c>
      <c r="H827" s="159" t="s">
        <v>69</v>
      </c>
      <c r="I827" s="85"/>
    </row>
    <row r="828" ht="13.5" customHeight="1">
      <c r="A828" s="90">
        <v>824.0</v>
      </c>
      <c r="B828" s="146">
        <v>46021.0</v>
      </c>
      <c r="C828" s="164">
        <v>74.0</v>
      </c>
      <c r="D828" s="164">
        <v>130.0</v>
      </c>
      <c r="E828" s="164" t="s">
        <v>322</v>
      </c>
      <c r="F828" s="164" t="s">
        <v>320</v>
      </c>
      <c r="G828" s="146">
        <v>46021.0</v>
      </c>
      <c r="H828" s="159" t="s">
        <v>69</v>
      </c>
      <c r="I828" s="85"/>
    </row>
    <row r="829" ht="13.5" customHeight="1">
      <c r="A829" s="90">
        <v>825.0</v>
      </c>
      <c r="B829" s="146">
        <v>46021.0</v>
      </c>
      <c r="C829" s="164">
        <v>86.0</v>
      </c>
      <c r="D829" s="164">
        <v>109.0</v>
      </c>
      <c r="E829" s="164" t="s">
        <v>323</v>
      </c>
      <c r="F829" s="164" t="s">
        <v>324</v>
      </c>
      <c r="G829" s="146">
        <v>46021.0</v>
      </c>
      <c r="H829" s="159" t="s">
        <v>69</v>
      </c>
      <c r="I829" s="85"/>
    </row>
    <row r="830" ht="13.5" customHeight="1">
      <c r="A830" s="90">
        <v>826.0</v>
      </c>
      <c r="B830" s="146">
        <v>46022.0</v>
      </c>
      <c r="C830" s="164">
        <v>58.0</v>
      </c>
      <c r="D830" s="164">
        <v>111.0</v>
      </c>
      <c r="E830" s="164" t="s">
        <v>323</v>
      </c>
      <c r="F830" s="78" t="s">
        <v>285</v>
      </c>
      <c r="G830" s="146">
        <v>46023.0</v>
      </c>
      <c r="H830" s="159" t="s">
        <v>69</v>
      </c>
      <c r="I830" s="78" t="s">
        <v>377</v>
      </c>
    </row>
    <row r="831" ht="13.5" customHeight="1">
      <c r="A831" s="90">
        <v>827.0</v>
      </c>
      <c r="B831" s="146">
        <v>46022.0</v>
      </c>
      <c r="C831" s="164">
        <v>64.0</v>
      </c>
      <c r="D831" s="164">
        <v>20.0</v>
      </c>
      <c r="E831" s="164" t="s">
        <v>322</v>
      </c>
      <c r="F831" s="78" t="s">
        <v>285</v>
      </c>
      <c r="G831" s="146">
        <v>46024.0</v>
      </c>
      <c r="H831" s="159" t="s">
        <v>69</v>
      </c>
      <c r="I831" s="78" t="s">
        <v>385</v>
      </c>
    </row>
    <row r="832" ht="13.5" customHeight="1">
      <c r="A832" s="90">
        <v>828.0</v>
      </c>
      <c r="B832" s="146">
        <v>46022.0</v>
      </c>
      <c r="C832" s="78">
        <v>23.0</v>
      </c>
      <c r="D832" s="78">
        <v>133.0</v>
      </c>
      <c r="E832" s="164" t="s">
        <v>335</v>
      </c>
      <c r="F832" s="78" t="s">
        <v>314</v>
      </c>
      <c r="G832" s="146">
        <v>46025.0</v>
      </c>
      <c r="H832" s="159" t="s">
        <v>69</v>
      </c>
      <c r="I832" s="78" t="s">
        <v>386</v>
      </c>
    </row>
    <row r="833" ht="13.5" customHeight="1">
      <c r="A833" s="90">
        <v>829.0</v>
      </c>
      <c r="B833" s="146">
        <v>46022.0</v>
      </c>
      <c r="C833" s="164">
        <v>7.0</v>
      </c>
      <c r="D833" s="164">
        <v>74.0</v>
      </c>
      <c r="E833" s="164" t="s">
        <v>337</v>
      </c>
      <c r="F833" s="164" t="s">
        <v>324</v>
      </c>
      <c r="G833" s="146">
        <v>46022.0</v>
      </c>
      <c r="H833" s="159" t="s">
        <v>69</v>
      </c>
      <c r="I833" s="85"/>
    </row>
    <row r="834" ht="13.5" customHeight="1">
      <c r="A834" s="90">
        <v>830.0</v>
      </c>
      <c r="B834" s="146">
        <v>46022.0</v>
      </c>
      <c r="C834" s="164">
        <v>61.0</v>
      </c>
      <c r="D834" s="164">
        <v>58.0</v>
      </c>
      <c r="E834" s="164" t="s">
        <v>322</v>
      </c>
      <c r="F834" s="164" t="s">
        <v>320</v>
      </c>
      <c r="G834" s="146">
        <v>46022.0</v>
      </c>
      <c r="H834" s="159" t="s">
        <v>69</v>
      </c>
      <c r="I834" s="85"/>
    </row>
    <row r="835" ht="13.5" customHeight="1">
      <c r="A835" s="90">
        <v>831.0</v>
      </c>
      <c r="B835" s="146">
        <v>46022.0</v>
      </c>
      <c r="C835" s="164">
        <v>64.0</v>
      </c>
      <c r="D835" s="164">
        <v>101.0</v>
      </c>
      <c r="E835" s="164" t="s">
        <v>337</v>
      </c>
      <c r="F835" s="164" t="s">
        <v>324</v>
      </c>
      <c r="G835" s="146">
        <v>46022.0</v>
      </c>
      <c r="H835" s="159" t="s">
        <v>69</v>
      </c>
      <c r="I835" s="85"/>
    </row>
    <row r="836" ht="13.5" customHeight="1">
      <c r="A836" s="90">
        <v>832.0</v>
      </c>
      <c r="B836" s="146">
        <v>46022.0</v>
      </c>
      <c r="C836" s="164">
        <v>74.0</v>
      </c>
      <c r="D836" s="164">
        <v>72.0</v>
      </c>
      <c r="E836" s="164" t="s">
        <v>323</v>
      </c>
      <c r="F836" s="164" t="s">
        <v>324</v>
      </c>
      <c r="G836" s="146">
        <v>46022.0</v>
      </c>
      <c r="H836" s="159" t="s">
        <v>69</v>
      </c>
      <c r="I836" s="85"/>
    </row>
    <row r="837" ht="13.5" customHeight="1">
      <c r="A837" s="90">
        <v>833.0</v>
      </c>
      <c r="B837" s="146">
        <v>46022.0</v>
      </c>
      <c r="C837" s="164">
        <v>121.0</v>
      </c>
      <c r="D837" s="164">
        <v>64.0</v>
      </c>
      <c r="E837" s="164" t="s">
        <v>313</v>
      </c>
      <c r="F837" s="164" t="s">
        <v>324</v>
      </c>
      <c r="G837" s="146">
        <v>46022.0</v>
      </c>
      <c r="H837" s="159" t="s">
        <v>69</v>
      </c>
      <c r="I837" s="85"/>
    </row>
    <row r="838" ht="13.5" customHeight="1">
      <c r="A838" s="90">
        <v>834.0</v>
      </c>
      <c r="B838" s="146">
        <v>46023.0</v>
      </c>
      <c r="C838" s="164">
        <v>61.0</v>
      </c>
      <c r="D838" s="164">
        <v>58.0</v>
      </c>
      <c r="E838" s="164" t="s">
        <v>322</v>
      </c>
      <c r="F838" s="164" t="s">
        <v>320</v>
      </c>
      <c r="G838" s="146">
        <v>46023.0</v>
      </c>
      <c r="H838" s="159" t="s">
        <v>69</v>
      </c>
      <c r="I838" s="85"/>
    </row>
    <row r="839" ht="13.5" customHeight="1">
      <c r="A839" s="90">
        <v>835.0</v>
      </c>
      <c r="B839" s="146">
        <v>46023.0</v>
      </c>
      <c r="C839" s="164">
        <v>65.0</v>
      </c>
      <c r="D839" s="164">
        <v>53.0</v>
      </c>
      <c r="E839" s="164" t="s">
        <v>335</v>
      </c>
      <c r="F839" s="164" t="s">
        <v>324</v>
      </c>
      <c r="G839" s="146">
        <v>46023.0</v>
      </c>
      <c r="H839" s="159" t="s">
        <v>69</v>
      </c>
      <c r="I839" s="85"/>
    </row>
    <row r="840" ht="13.5" customHeight="1">
      <c r="A840" s="90">
        <v>836.0</v>
      </c>
      <c r="B840" s="146">
        <v>46023.0</v>
      </c>
      <c r="C840" s="164">
        <v>66.0</v>
      </c>
      <c r="D840" s="164">
        <v>128.0</v>
      </c>
      <c r="E840" s="164" t="s">
        <v>335</v>
      </c>
      <c r="F840" s="164" t="s">
        <v>324</v>
      </c>
      <c r="G840" s="146">
        <v>46023.0</v>
      </c>
      <c r="H840" s="159" t="s">
        <v>69</v>
      </c>
      <c r="I840" s="85"/>
    </row>
    <row r="841" ht="13.5" customHeight="1">
      <c r="A841" s="90">
        <v>837.0</v>
      </c>
      <c r="B841" s="146">
        <v>46023.0</v>
      </c>
      <c r="C841" s="164">
        <v>66.0</v>
      </c>
      <c r="D841" s="164">
        <v>132.0</v>
      </c>
      <c r="E841" s="164" t="s">
        <v>313</v>
      </c>
      <c r="F841" s="164" t="s">
        <v>324</v>
      </c>
      <c r="G841" s="146">
        <v>46023.0</v>
      </c>
      <c r="H841" s="159" t="s">
        <v>69</v>
      </c>
      <c r="I841" s="85"/>
    </row>
    <row r="842" ht="13.5" customHeight="1">
      <c r="A842" s="90">
        <v>838.0</v>
      </c>
      <c r="B842" s="146">
        <v>46023.0</v>
      </c>
      <c r="C842" s="164">
        <v>91.0</v>
      </c>
      <c r="D842" s="164">
        <v>110.0</v>
      </c>
      <c r="E842" s="164" t="s">
        <v>337</v>
      </c>
      <c r="F842" s="164" t="s">
        <v>324</v>
      </c>
      <c r="G842" s="146">
        <v>46023.0</v>
      </c>
      <c r="H842" s="159" t="s">
        <v>69</v>
      </c>
      <c r="I842" s="85"/>
    </row>
    <row r="843" ht="13.5" customHeight="1">
      <c r="A843" s="90">
        <v>839.0</v>
      </c>
      <c r="B843" s="146">
        <v>46024.0</v>
      </c>
      <c r="C843" s="164">
        <v>115.0</v>
      </c>
      <c r="D843" s="164">
        <v>12.0</v>
      </c>
      <c r="E843" s="164" t="s">
        <v>310</v>
      </c>
      <c r="F843" s="164" t="s">
        <v>314</v>
      </c>
      <c r="G843" s="146">
        <v>46026.0</v>
      </c>
      <c r="H843" s="159" t="s">
        <v>69</v>
      </c>
      <c r="I843" s="164" t="s">
        <v>333</v>
      </c>
    </row>
    <row r="844" ht="13.5" customHeight="1">
      <c r="A844" s="90">
        <v>840.0</v>
      </c>
      <c r="B844" s="146">
        <v>46024.0</v>
      </c>
      <c r="C844" s="164">
        <v>122.0</v>
      </c>
      <c r="D844" s="164">
        <v>125.0</v>
      </c>
      <c r="E844" s="164" t="s">
        <v>335</v>
      </c>
      <c r="F844" s="164" t="s">
        <v>314</v>
      </c>
      <c r="G844" s="146">
        <v>46026.0</v>
      </c>
      <c r="H844" s="159" t="s">
        <v>69</v>
      </c>
      <c r="I844" s="164" t="s">
        <v>387</v>
      </c>
    </row>
    <row r="845" ht="13.5" customHeight="1">
      <c r="A845" s="90">
        <v>841.0</v>
      </c>
      <c r="B845" s="146">
        <v>46024.0</v>
      </c>
      <c r="C845" s="164">
        <v>23.0</v>
      </c>
      <c r="D845" s="164">
        <v>16.0</v>
      </c>
      <c r="E845" s="164" t="s">
        <v>323</v>
      </c>
      <c r="F845" s="164" t="s">
        <v>324</v>
      </c>
      <c r="G845" s="146">
        <v>46024.0</v>
      </c>
      <c r="H845" s="159" t="s">
        <v>69</v>
      </c>
      <c r="I845" s="85"/>
    </row>
    <row r="846" ht="13.5" customHeight="1">
      <c r="A846" s="90">
        <v>842.0</v>
      </c>
      <c r="B846" s="146">
        <v>46024.0</v>
      </c>
      <c r="C846" s="164">
        <v>28.0</v>
      </c>
      <c r="D846" s="164">
        <v>5.0</v>
      </c>
      <c r="E846" s="164" t="s">
        <v>310</v>
      </c>
      <c r="F846" s="164" t="s">
        <v>324</v>
      </c>
      <c r="G846" s="146">
        <v>46024.0</v>
      </c>
      <c r="H846" s="159" t="s">
        <v>69</v>
      </c>
      <c r="I846" s="85"/>
    </row>
    <row r="847" ht="13.5" customHeight="1">
      <c r="A847" s="90">
        <v>843.0</v>
      </c>
      <c r="B847" s="146">
        <v>46024.0</v>
      </c>
      <c r="C847" s="164">
        <v>29.0</v>
      </c>
      <c r="D847" s="164">
        <v>33.0</v>
      </c>
      <c r="E847" s="164" t="s">
        <v>310</v>
      </c>
      <c r="F847" s="164" t="s">
        <v>324</v>
      </c>
      <c r="G847" s="146">
        <v>46024.0</v>
      </c>
      <c r="H847" s="159" t="s">
        <v>69</v>
      </c>
      <c r="I847" s="85"/>
    </row>
    <row r="848" ht="13.5" customHeight="1">
      <c r="A848" s="90">
        <v>844.0</v>
      </c>
      <c r="B848" s="146">
        <v>46024.0</v>
      </c>
      <c r="C848" s="164">
        <v>56.0</v>
      </c>
      <c r="D848" s="164">
        <v>51.0</v>
      </c>
      <c r="E848" s="164" t="s">
        <v>337</v>
      </c>
      <c r="F848" s="164" t="s">
        <v>324</v>
      </c>
      <c r="G848" s="146">
        <v>46024.0</v>
      </c>
      <c r="H848" s="159" t="s">
        <v>69</v>
      </c>
      <c r="I848" s="85"/>
    </row>
    <row r="849" ht="13.5" customHeight="1">
      <c r="A849" s="90">
        <v>845.0</v>
      </c>
      <c r="B849" s="146">
        <v>46024.0</v>
      </c>
      <c r="C849" s="164">
        <v>66.0</v>
      </c>
      <c r="D849" s="164">
        <v>35.0</v>
      </c>
      <c r="E849" s="164" t="s">
        <v>337</v>
      </c>
      <c r="F849" s="164" t="s">
        <v>324</v>
      </c>
      <c r="G849" s="146">
        <v>46024.0</v>
      </c>
      <c r="H849" s="159" t="s">
        <v>69</v>
      </c>
      <c r="I849" s="85"/>
    </row>
    <row r="850" ht="13.5" customHeight="1">
      <c r="A850" s="90">
        <v>846.0</v>
      </c>
      <c r="B850" s="146">
        <v>46024.0</v>
      </c>
      <c r="C850" s="164">
        <v>66.0</v>
      </c>
      <c r="D850" s="164">
        <v>87.0</v>
      </c>
      <c r="E850" s="164" t="s">
        <v>313</v>
      </c>
      <c r="F850" s="164" t="s">
        <v>324</v>
      </c>
      <c r="G850" s="146">
        <v>46024.0</v>
      </c>
      <c r="H850" s="159" t="s">
        <v>69</v>
      </c>
      <c r="I850" s="85"/>
    </row>
    <row r="851" ht="13.5" customHeight="1">
      <c r="A851" s="90">
        <v>847.0</v>
      </c>
      <c r="B851" s="146">
        <v>46024.0</v>
      </c>
      <c r="C851" s="164">
        <v>66.0</v>
      </c>
      <c r="D851" s="164">
        <v>99.0</v>
      </c>
      <c r="E851" s="164" t="s">
        <v>337</v>
      </c>
      <c r="F851" s="164" t="s">
        <v>324</v>
      </c>
      <c r="G851" s="146">
        <v>46024.0</v>
      </c>
      <c r="H851" s="159" t="s">
        <v>69</v>
      </c>
      <c r="I851" s="85"/>
    </row>
    <row r="852" ht="13.5" customHeight="1">
      <c r="A852" s="90">
        <v>848.0</v>
      </c>
      <c r="B852" s="146">
        <v>46024.0</v>
      </c>
      <c r="C852" s="164">
        <v>70.0</v>
      </c>
      <c r="D852" s="164">
        <v>15.0</v>
      </c>
      <c r="E852" s="164" t="s">
        <v>323</v>
      </c>
      <c r="F852" s="164" t="s">
        <v>324</v>
      </c>
      <c r="G852" s="146">
        <v>46024.0</v>
      </c>
      <c r="H852" s="159" t="s">
        <v>69</v>
      </c>
      <c r="I852" s="85"/>
    </row>
    <row r="853" ht="13.5" customHeight="1">
      <c r="A853" s="90">
        <v>849.0</v>
      </c>
      <c r="B853" s="146">
        <v>46024.0</v>
      </c>
      <c r="C853" s="164">
        <v>74.0</v>
      </c>
      <c r="D853" s="164">
        <v>118.0</v>
      </c>
      <c r="E853" s="164" t="s">
        <v>335</v>
      </c>
      <c r="F853" s="164" t="s">
        <v>324</v>
      </c>
      <c r="G853" s="146">
        <v>46024.0</v>
      </c>
      <c r="H853" s="159" t="s">
        <v>69</v>
      </c>
      <c r="I853" s="85"/>
    </row>
    <row r="854" ht="13.5" customHeight="1">
      <c r="A854" s="90">
        <v>850.0</v>
      </c>
      <c r="B854" s="146">
        <v>46024.0</v>
      </c>
      <c r="C854" s="164">
        <v>74.0</v>
      </c>
      <c r="D854" s="164">
        <v>125.0</v>
      </c>
      <c r="E854" s="164" t="s">
        <v>323</v>
      </c>
      <c r="F854" s="164" t="s">
        <v>324</v>
      </c>
      <c r="G854" s="146">
        <v>46024.0</v>
      </c>
      <c r="H854" s="159" t="s">
        <v>69</v>
      </c>
      <c r="I854" s="85"/>
    </row>
    <row r="855" ht="13.5" customHeight="1">
      <c r="A855" s="90">
        <v>851.0</v>
      </c>
      <c r="B855" s="146">
        <v>46024.0</v>
      </c>
      <c r="C855" s="164">
        <v>76.0</v>
      </c>
      <c r="D855" s="164">
        <v>106.0</v>
      </c>
      <c r="E855" s="164" t="s">
        <v>335</v>
      </c>
      <c r="F855" s="164" t="s">
        <v>324</v>
      </c>
      <c r="G855" s="146">
        <v>46024.0</v>
      </c>
      <c r="H855" s="159" t="s">
        <v>69</v>
      </c>
      <c r="I855" s="85"/>
    </row>
    <row r="856" ht="13.5" customHeight="1">
      <c r="A856" s="90">
        <v>852.0</v>
      </c>
      <c r="B856" s="146">
        <v>46024.0</v>
      </c>
      <c r="C856" s="164">
        <v>80.0</v>
      </c>
      <c r="D856" s="164">
        <v>55.0</v>
      </c>
      <c r="E856" s="164" t="s">
        <v>323</v>
      </c>
      <c r="F856" s="164" t="s">
        <v>324</v>
      </c>
      <c r="G856" s="146">
        <v>46024.0</v>
      </c>
      <c r="H856" s="159" t="s">
        <v>69</v>
      </c>
      <c r="I856" s="85"/>
    </row>
    <row r="857" ht="13.5" customHeight="1">
      <c r="A857" s="90">
        <v>853.0</v>
      </c>
      <c r="B857" s="146">
        <v>46024.0</v>
      </c>
      <c r="C857" s="164">
        <v>91.0</v>
      </c>
      <c r="D857" s="164">
        <v>36.0</v>
      </c>
      <c r="E857" s="164" t="s">
        <v>337</v>
      </c>
      <c r="F857" s="164" t="s">
        <v>324</v>
      </c>
      <c r="G857" s="146">
        <v>46024.0</v>
      </c>
      <c r="H857" s="159" t="s">
        <v>69</v>
      </c>
      <c r="I857" s="85"/>
    </row>
    <row r="858" ht="13.5" customHeight="1">
      <c r="A858" s="90">
        <v>854.0</v>
      </c>
      <c r="B858" s="146">
        <v>46024.0</v>
      </c>
      <c r="C858" s="164">
        <v>91.0</v>
      </c>
      <c r="D858" s="164">
        <v>110.0</v>
      </c>
      <c r="E858" s="164" t="s">
        <v>337</v>
      </c>
      <c r="F858" s="164" t="s">
        <v>324</v>
      </c>
      <c r="G858" s="146">
        <v>46024.0</v>
      </c>
      <c r="H858" s="159" t="s">
        <v>69</v>
      </c>
      <c r="I858" s="85"/>
    </row>
    <row r="859" ht="13.5" customHeight="1">
      <c r="A859" s="90">
        <v>855.0</v>
      </c>
      <c r="B859" s="146">
        <v>45660.0</v>
      </c>
      <c r="C859" s="164">
        <v>53.0</v>
      </c>
      <c r="D859" s="164">
        <v>113.0</v>
      </c>
      <c r="E859" s="164" t="s">
        <v>322</v>
      </c>
      <c r="F859" s="78" t="s">
        <v>285</v>
      </c>
      <c r="G859" s="146">
        <v>45660.0</v>
      </c>
      <c r="H859" s="159" t="s">
        <v>69</v>
      </c>
      <c r="I859" s="78" t="s">
        <v>384</v>
      </c>
    </row>
    <row r="860" ht="13.5" customHeight="1">
      <c r="A860" s="90">
        <v>856.0</v>
      </c>
      <c r="B860" s="146">
        <v>46025.0</v>
      </c>
      <c r="C860" s="164">
        <v>66.0</v>
      </c>
      <c r="D860" s="164">
        <v>48.0</v>
      </c>
      <c r="E860" s="164" t="s">
        <v>337</v>
      </c>
      <c r="F860" s="164" t="s">
        <v>324</v>
      </c>
      <c r="G860" s="146">
        <v>45660.0</v>
      </c>
      <c r="H860" s="159" t="s">
        <v>69</v>
      </c>
      <c r="I860" s="85"/>
    </row>
    <row r="861" ht="13.5" customHeight="1">
      <c r="A861" s="90">
        <v>857.0</v>
      </c>
      <c r="B861" s="146">
        <v>46025.0</v>
      </c>
      <c r="C861" s="164">
        <v>66.0</v>
      </c>
      <c r="D861" s="164">
        <v>87.0</v>
      </c>
      <c r="E861" s="164" t="s">
        <v>337</v>
      </c>
      <c r="F861" s="164" t="s">
        <v>324</v>
      </c>
      <c r="G861" s="146">
        <v>45660.0</v>
      </c>
      <c r="H861" s="159" t="s">
        <v>69</v>
      </c>
      <c r="I861" s="85"/>
    </row>
    <row r="862" ht="13.5" customHeight="1">
      <c r="A862" s="90">
        <v>858.0</v>
      </c>
      <c r="B862" s="146">
        <v>46026.0</v>
      </c>
      <c r="C862" s="164">
        <v>37.0</v>
      </c>
      <c r="D862" s="164">
        <v>39.0</v>
      </c>
      <c r="E862" s="164" t="s">
        <v>322</v>
      </c>
      <c r="F862" s="164" t="s">
        <v>314</v>
      </c>
      <c r="G862" s="146">
        <v>46028.0</v>
      </c>
      <c r="H862" s="159" t="s">
        <v>69</v>
      </c>
      <c r="I862" s="164" t="s">
        <v>333</v>
      </c>
    </row>
    <row r="863" ht="13.5" customHeight="1">
      <c r="A863" s="90">
        <v>859.0</v>
      </c>
      <c r="B863" s="146">
        <v>46026.0</v>
      </c>
      <c r="C863" s="164">
        <v>58.0</v>
      </c>
      <c r="D863" s="164">
        <v>76.0</v>
      </c>
      <c r="E863" s="164" t="s">
        <v>322</v>
      </c>
      <c r="F863" s="164" t="s">
        <v>285</v>
      </c>
      <c r="G863" s="146">
        <v>46027.0</v>
      </c>
      <c r="H863" s="159" t="s">
        <v>69</v>
      </c>
      <c r="I863" s="164" t="s">
        <v>340</v>
      </c>
    </row>
    <row r="864" ht="13.5" customHeight="1">
      <c r="A864" s="90">
        <v>860.0</v>
      </c>
      <c r="B864" s="146">
        <v>46026.0</v>
      </c>
      <c r="C864" s="164">
        <v>59.0</v>
      </c>
      <c r="D864" s="164">
        <v>77.0</v>
      </c>
      <c r="E864" s="164" t="s">
        <v>335</v>
      </c>
      <c r="F864" s="164" t="s">
        <v>314</v>
      </c>
      <c r="G864" s="146">
        <v>46027.0</v>
      </c>
      <c r="H864" s="159" t="s">
        <v>69</v>
      </c>
      <c r="I864" s="164" t="s">
        <v>333</v>
      </c>
    </row>
    <row r="865" ht="13.5" customHeight="1">
      <c r="A865" s="90">
        <v>861.0</v>
      </c>
      <c r="B865" s="146">
        <v>46026.0</v>
      </c>
      <c r="C865" s="164">
        <v>28.0</v>
      </c>
      <c r="D865" s="164">
        <v>5.0</v>
      </c>
      <c r="E865" s="164" t="s">
        <v>310</v>
      </c>
      <c r="F865" s="164" t="s">
        <v>324</v>
      </c>
      <c r="G865" s="146">
        <v>46026.0</v>
      </c>
      <c r="H865" s="159" t="s">
        <v>69</v>
      </c>
      <c r="I865" s="85"/>
    </row>
    <row r="866" ht="13.5" customHeight="1">
      <c r="A866" s="90">
        <v>862.0</v>
      </c>
      <c r="B866" s="146">
        <v>46026.0</v>
      </c>
      <c r="C866" s="164">
        <v>56.0</v>
      </c>
      <c r="D866" s="164">
        <v>12.0</v>
      </c>
      <c r="E866" s="164" t="s">
        <v>337</v>
      </c>
      <c r="F866" s="164" t="s">
        <v>324</v>
      </c>
      <c r="G866" s="146">
        <v>46026.0</v>
      </c>
      <c r="H866" s="159" t="s">
        <v>69</v>
      </c>
      <c r="I866" s="85"/>
    </row>
    <row r="867" ht="13.5" customHeight="1">
      <c r="A867" s="90">
        <v>863.0</v>
      </c>
      <c r="B867" s="146">
        <v>46026.0</v>
      </c>
      <c r="C867" s="164">
        <v>56.0</v>
      </c>
      <c r="D867" s="164">
        <v>108.0</v>
      </c>
      <c r="E867" s="164" t="s">
        <v>337</v>
      </c>
      <c r="F867" s="164" t="s">
        <v>324</v>
      </c>
      <c r="G867" s="146">
        <v>46026.0</v>
      </c>
      <c r="H867" s="159" t="s">
        <v>69</v>
      </c>
      <c r="I867" s="85"/>
    </row>
    <row r="868" ht="13.5" customHeight="1">
      <c r="A868" s="90">
        <v>864.0</v>
      </c>
      <c r="B868" s="146">
        <v>46026.0</v>
      </c>
      <c r="C868" s="164">
        <v>66.0</v>
      </c>
      <c r="D868" s="164">
        <v>87.0</v>
      </c>
      <c r="E868" s="164" t="s">
        <v>337</v>
      </c>
      <c r="F868" s="164" t="s">
        <v>324</v>
      </c>
      <c r="G868" s="146">
        <v>46026.0</v>
      </c>
      <c r="H868" s="159" t="s">
        <v>69</v>
      </c>
      <c r="I868" s="85"/>
    </row>
    <row r="869" ht="13.5" customHeight="1">
      <c r="A869" s="90">
        <v>865.0</v>
      </c>
      <c r="B869" s="146">
        <v>46026.0</v>
      </c>
      <c r="C869" s="164">
        <v>128.0</v>
      </c>
      <c r="D869" s="164">
        <v>72.0</v>
      </c>
      <c r="E869" s="164" t="s">
        <v>322</v>
      </c>
      <c r="F869" s="164" t="s">
        <v>320</v>
      </c>
      <c r="G869" s="146">
        <v>46026.0</v>
      </c>
      <c r="H869" s="159" t="s">
        <v>69</v>
      </c>
      <c r="I869" s="85"/>
    </row>
    <row r="870" ht="13.5" customHeight="1">
      <c r="A870" s="90">
        <v>866.0</v>
      </c>
      <c r="B870" s="146">
        <v>46027.0</v>
      </c>
      <c r="C870" s="164">
        <v>6.0</v>
      </c>
      <c r="D870" s="164">
        <v>136.0</v>
      </c>
      <c r="E870" s="164" t="s">
        <v>310</v>
      </c>
      <c r="F870" s="164" t="s">
        <v>324</v>
      </c>
      <c r="G870" s="146">
        <v>46027.0</v>
      </c>
      <c r="H870" s="159" t="s">
        <v>69</v>
      </c>
      <c r="I870" s="85"/>
    </row>
    <row r="871" ht="13.5" customHeight="1">
      <c r="A871" s="90">
        <v>867.0</v>
      </c>
      <c r="B871" s="146">
        <v>46027.0</v>
      </c>
      <c r="C871" s="164">
        <v>32.0</v>
      </c>
      <c r="D871" s="164">
        <v>121.0</v>
      </c>
      <c r="E871" s="164" t="s">
        <v>323</v>
      </c>
      <c r="F871" s="164" t="s">
        <v>324</v>
      </c>
      <c r="G871" s="146">
        <v>46027.0</v>
      </c>
      <c r="H871" s="159" t="s">
        <v>69</v>
      </c>
      <c r="I871" s="85"/>
    </row>
    <row r="872" ht="13.5" customHeight="1">
      <c r="A872" s="90">
        <v>868.0</v>
      </c>
      <c r="B872" s="146">
        <v>46027.0</v>
      </c>
      <c r="C872" s="164">
        <v>36.0</v>
      </c>
      <c r="D872" s="164">
        <v>139.0</v>
      </c>
      <c r="E872" s="164" t="s">
        <v>323</v>
      </c>
      <c r="F872" s="164" t="s">
        <v>324</v>
      </c>
      <c r="G872" s="146">
        <v>46027.0</v>
      </c>
      <c r="H872" s="159" t="s">
        <v>69</v>
      </c>
      <c r="I872" s="85"/>
    </row>
    <row r="873" ht="13.5" customHeight="1">
      <c r="A873" s="90">
        <v>869.0</v>
      </c>
      <c r="B873" s="146">
        <v>46027.0</v>
      </c>
      <c r="C873" s="164">
        <v>56.0</v>
      </c>
      <c r="D873" s="164">
        <v>12.0</v>
      </c>
      <c r="E873" s="164" t="s">
        <v>337</v>
      </c>
      <c r="F873" s="164" t="s">
        <v>324</v>
      </c>
      <c r="G873" s="146">
        <v>46027.0</v>
      </c>
      <c r="H873" s="159" t="s">
        <v>69</v>
      </c>
      <c r="I873" s="85"/>
    </row>
    <row r="874" ht="13.5" customHeight="1">
      <c r="A874" s="90">
        <v>870.0</v>
      </c>
      <c r="B874" s="146">
        <v>46027.0</v>
      </c>
      <c r="C874" s="164">
        <v>56.0</v>
      </c>
      <c r="D874" s="164">
        <v>27.0</v>
      </c>
      <c r="E874" s="164" t="s">
        <v>313</v>
      </c>
      <c r="F874" s="164" t="s">
        <v>324</v>
      </c>
      <c r="G874" s="146">
        <v>46027.0</v>
      </c>
      <c r="H874" s="159" t="s">
        <v>69</v>
      </c>
      <c r="I874" s="85"/>
    </row>
    <row r="875" ht="13.5" customHeight="1">
      <c r="A875" s="90">
        <v>871.0</v>
      </c>
      <c r="B875" s="146">
        <v>46027.0</v>
      </c>
      <c r="C875" s="164">
        <v>56.0</v>
      </c>
      <c r="D875" s="164">
        <v>29.0</v>
      </c>
      <c r="E875" s="164" t="s">
        <v>313</v>
      </c>
      <c r="F875" s="164" t="s">
        <v>324</v>
      </c>
      <c r="G875" s="146">
        <v>46027.0</v>
      </c>
      <c r="H875" s="159" t="s">
        <v>69</v>
      </c>
      <c r="I875" s="85"/>
    </row>
    <row r="876" ht="13.5" customHeight="1">
      <c r="A876" s="90">
        <v>872.0</v>
      </c>
      <c r="B876" s="146">
        <v>46027.0</v>
      </c>
      <c r="C876" s="164">
        <v>56.0</v>
      </c>
      <c r="D876" s="164">
        <v>32.0</v>
      </c>
      <c r="E876" s="164" t="s">
        <v>313</v>
      </c>
      <c r="F876" s="164" t="s">
        <v>324</v>
      </c>
      <c r="G876" s="146">
        <v>46027.0</v>
      </c>
      <c r="H876" s="159" t="s">
        <v>69</v>
      </c>
      <c r="I876" s="85"/>
    </row>
    <row r="877" ht="13.5" customHeight="1">
      <c r="A877" s="90">
        <v>873.0</v>
      </c>
      <c r="B877" s="146">
        <v>46027.0</v>
      </c>
      <c r="C877" s="164">
        <v>66.0</v>
      </c>
      <c r="D877" s="164">
        <v>132.0</v>
      </c>
      <c r="E877" s="164" t="s">
        <v>323</v>
      </c>
      <c r="F877" s="164" t="s">
        <v>324</v>
      </c>
      <c r="G877" s="146">
        <v>46027.0</v>
      </c>
      <c r="H877" s="159" t="s">
        <v>69</v>
      </c>
      <c r="I877" s="85"/>
    </row>
    <row r="878" ht="13.5" customHeight="1">
      <c r="A878" s="90">
        <v>874.0</v>
      </c>
      <c r="B878" s="146">
        <v>46027.0</v>
      </c>
      <c r="C878" s="164">
        <v>74.0</v>
      </c>
      <c r="D878" s="164">
        <v>52.0</v>
      </c>
      <c r="E878" s="164" t="s">
        <v>323</v>
      </c>
      <c r="F878" s="164" t="s">
        <v>324</v>
      </c>
      <c r="G878" s="146">
        <v>46027.0</v>
      </c>
      <c r="H878" s="159" t="s">
        <v>69</v>
      </c>
      <c r="I878" s="85"/>
    </row>
    <row r="879" ht="13.5" customHeight="1">
      <c r="A879" s="90">
        <v>875.0</v>
      </c>
      <c r="B879" s="146">
        <v>46027.0</v>
      </c>
      <c r="C879" s="164">
        <v>81.0</v>
      </c>
      <c r="D879" s="164">
        <v>123.0</v>
      </c>
      <c r="E879" s="164" t="s">
        <v>323</v>
      </c>
      <c r="F879" s="164" t="s">
        <v>324</v>
      </c>
      <c r="G879" s="146">
        <v>46027.0</v>
      </c>
      <c r="H879" s="159" t="s">
        <v>69</v>
      </c>
      <c r="I879" s="85"/>
    </row>
    <row r="880" ht="13.5" customHeight="1">
      <c r="A880" s="90">
        <v>876.0</v>
      </c>
      <c r="B880" s="146">
        <v>46027.0</v>
      </c>
      <c r="C880" s="164">
        <v>87.0</v>
      </c>
      <c r="D880" s="164">
        <v>93.0</v>
      </c>
      <c r="E880" s="164" t="s">
        <v>323</v>
      </c>
      <c r="F880" s="164" t="s">
        <v>324</v>
      </c>
      <c r="G880" s="146">
        <v>46027.0</v>
      </c>
      <c r="H880" s="159" t="s">
        <v>69</v>
      </c>
      <c r="I880" s="85"/>
    </row>
    <row r="881" ht="13.5" customHeight="1">
      <c r="A881" s="90">
        <v>877.0</v>
      </c>
      <c r="B881" s="146">
        <v>46027.0</v>
      </c>
      <c r="C881" s="164">
        <v>91.0</v>
      </c>
      <c r="D881" s="164">
        <v>36.0</v>
      </c>
      <c r="E881" s="164" t="s">
        <v>337</v>
      </c>
      <c r="F881" s="164" t="s">
        <v>324</v>
      </c>
      <c r="G881" s="146">
        <v>46027.0</v>
      </c>
      <c r="H881" s="159" t="s">
        <v>69</v>
      </c>
      <c r="I881" s="85"/>
    </row>
    <row r="882" ht="13.5" customHeight="1">
      <c r="A882" s="90">
        <v>878.0</v>
      </c>
      <c r="B882" s="146">
        <v>46027.0</v>
      </c>
      <c r="C882" s="164">
        <v>99.0</v>
      </c>
      <c r="D882" s="164">
        <v>107.0</v>
      </c>
      <c r="E882" s="164" t="s">
        <v>323</v>
      </c>
      <c r="F882" s="164" t="s">
        <v>324</v>
      </c>
      <c r="G882" s="146">
        <v>46027.0</v>
      </c>
      <c r="H882" s="159" t="s">
        <v>69</v>
      </c>
      <c r="I882" s="85"/>
    </row>
    <row r="883" ht="13.5" customHeight="1">
      <c r="A883" s="90">
        <v>879.0</v>
      </c>
      <c r="B883" s="146">
        <v>46027.0</v>
      </c>
      <c r="C883" s="164">
        <v>99.0</v>
      </c>
      <c r="D883" s="164">
        <v>115.0</v>
      </c>
      <c r="E883" s="164" t="s">
        <v>323</v>
      </c>
      <c r="F883" s="164" t="s">
        <v>324</v>
      </c>
      <c r="G883" s="146">
        <v>46027.0</v>
      </c>
      <c r="H883" s="159" t="s">
        <v>69</v>
      </c>
      <c r="I883" s="85"/>
    </row>
    <row r="884" ht="13.5" customHeight="1">
      <c r="A884" s="90">
        <v>880.0</v>
      </c>
      <c r="B884" s="146">
        <v>46027.0</v>
      </c>
      <c r="C884" s="164">
        <v>99.0</v>
      </c>
      <c r="D884" s="164">
        <v>136.0</v>
      </c>
      <c r="E884" s="164" t="s">
        <v>323</v>
      </c>
      <c r="F884" s="164" t="s">
        <v>324</v>
      </c>
      <c r="G884" s="146">
        <v>46027.0</v>
      </c>
      <c r="H884" s="159" t="s">
        <v>69</v>
      </c>
      <c r="I884" s="85"/>
    </row>
    <row r="885" ht="13.5" customHeight="1">
      <c r="A885" s="90">
        <v>881.0</v>
      </c>
      <c r="B885" s="146">
        <v>46027.0</v>
      </c>
      <c r="C885" s="164">
        <v>106.0</v>
      </c>
      <c r="D885" s="164">
        <v>70.0</v>
      </c>
      <c r="E885" s="164" t="s">
        <v>323</v>
      </c>
      <c r="F885" s="164" t="s">
        <v>324</v>
      </c>
      <c r="G885" s="146">
        <v>46027.0</v>
      </c>
      <c r="H885" s="159" t="s">
        <v>69</v>
      </c>
      <c r="I885" s="85"/>
    </row>
    <row r="886" ht="13.5" customHeight="1">
      <c r="A886" s="90">
        <v>882.0</v>
      </c>
      <c r="B886" s="146">
        <v>46027.0</v>
      </c>
      <c r="C886" s="164">
        <v>112.0</v>
      </c>
      <c r="D886" s="164">
        <v>83.0</v>
      </c>
      <c r="E886" s="164" t="s">
        <v>323</v>
      </c>
      <c r="F886" s="164" t="s">
        <v>324</v>
      </c>
      <c r="G886" s="146">
        <v>46027.0</v>
      </c>
      <c r="H886" s="159" t="s">
        <v>69</v>
      </c>
      <c r="I886" s="85"/>
    </row>
    <row r="887" ht="13.5" customHeight="1">
      <c r="A887" s="90">
        <v>883.0</v>
      </c>
      <c r="B887" s="146">
        <v>46027.0</v>
      </c>
      <c r="C887" s="164">
        <v>112.0</v>
      </c>
      <c r="D887" s="164">
        <v>106.0</v>
      </c>
      <c r="E887" s="164" t="s">
        <v>323</v>
      </c>
      <c r="F887" s="164" t="s">
        <v>324</v>
      </c>
      <c r="G887" s="146">
        <v>46027.0</v>
      </c>
      <c r="H887" s="159" t="s">
        <v>69</v>
      </c>
      <c r="I887" s="85"/>
    </row>
    <row r="888" ht="13.5" customHeight="1">
      <c r="A888" s="90">
        <v>884.0</v>
      </c>
      <c r="B888" s="146">
        <v>46027.0</v>
      </c>
      <c r="C888" s="164">
        <v>124.0</v>
      </c>
      <c r="D888" s="164">
        <v>24.0</v>
      </c>
      <c r="E888" s="164" t="s">
        <v>323</v>
      </c>
      <c r="F888" s="164" t="s">
        <v>324</v>
      </c>
      <c r="G888" s="146">
        <v>46027.0</v>
      </c>
      <c r="H888" s="159" t="s">
        <v>69</v>
      </c>
      <c r="I888" s="85"/>
    </row>
    <row r="889" ht="13.5" customHeight="1">
      <c r="A889" s="90">
        <v>885.0</v>
      </c>
      <c r="B889" s="146">
        <v>46027.0</v>
      </c>
      <c r="C889" s="164">
        <v>95.0</v>
      </c>
      <c r="D889" s="164">
        <v>92.0</v>
      </c>
      <c r="E889" s="164" t="s">
        <v>335</v>
      </c>
      <c r="F889" s="164" t="s">
        <v>314</v>
      </c>
      <c r="G889" s="146">
        <v>46032.0</v>
      </c>
      <c r="H889" s="159" t="s">
        <v>69</v>
      </c>
      <c r="I889" s="164" t="s">
        <v>333</v>
      </c>
    </row>
    <row r="890" ht="13.5" customHeight="1">
      <c r="A890" s="90">
        <v>886.0</v>
      </c>
      <c r="B890" s="146">
        <v>46027.0</v>
      </c>
      <c r="C890" s="164">
        <v>96.0</v>
      </c>
      <c r="D890" s="164">
        <v>1.0</v>
      </c>
      <c r="E890" s="164" t="s">
        <v>335</v>
      </c>
      <c r="F890" s="164" t="s">
        <v>314</v>
      </c>
      <c r="G890" s="146">
        <v>46028.0</v>
      </c>
      <c r="H890" s="159" t="s">
        <v>69</v>
      </c>
      <c r="I890" s="164" t="s">
        <v>333</v>
      </c>
    </row>
    <row r="891" ht="13.5" customHeight="1">
      <c r="A891" s="90">
        <v>887.0</v>
      </c>
      <c r="B891" s="146">
        <v>46027.0</v>
      </c>
      <c r="C891" s="164">
        <v>119.0</v>
      </c>
      <c r="D891" s="164">
        <v>133.0</v>
      </c>
      <c r="E891" s="164" t="s">
        <v>310</v>
      </c>
      <c r="F891" s="164" t="s">
        <v>314</v>
      </c>
      <c r="G891" s="146">
        <v>46027.0</v>
      </c>
      <c r="H891" s="159" t="s">
        <v>69</v>
      </c>
      <c r="I891" s="164" t="s">
        <v>333</v>
      </c>
    </row>
    <row r="892" ht="13.5" customHeight="1">
      <c r="A892" s="90">
        <v>888.0</v>
      </c>
      <c r="B892" s="146">
        <v>46028.0</v>
      </c>
      <c r="C892" s="164">
        <v>28.0</v>
      </c>
      <c r="D892" s="164">
        <v>5.0</v>
      </c>
      <c r="E892" s="164" t="s">
        <v>310</v>
      </c>
      <c r="F892" s="164" t="s">
        <v>324</v>
      </c>
      <c r="G892" s="146">
        <v>46028.0</v>
      </c>
      <c r="H892" s="159" t="s">
        <v>69</v>
      </c>
      <c r="I892" s="85"/>
    </row>
    <row r="893" ht="13.5" customHeight="1">
      <c r="A893" s="90">
        <v>889.0</v>
      </c>
      <c r="B893" s="146">
        <v>46028.0</v>
      </c>
      <c r="C893" s="164">
        <v>38.0</v>
      </c>
      <c r="D893" s="164">
        <v>92.0</v>
      </c>
      <c r="E893" s="164" t="s">
        <v>323</v>
      </c>
      <c r="F893" s="164" t="s">
        <v>324</v>
      </c>
      <c r="G893" s="146">
        <v>46028.0</v>
      </c>
      <c r="H893" s="159" t="s">
        <v>69</v>
      </c>
      <c r="I893" s="85"/>
    </row>
    <row r="894" ht="13.5" customHeight="1">
      <c r="A894" s="90">
        <v>890.0</v>
      </c>
      <c r="B894" s="146">
        <v>46028.0</v>
      </c>
      <c r="C894" s="164">
        <v>56.0</v>
      </c>
      <c r="D894" s="164">
        <v>11.0</v>
      </c>
      <c r="E894" s="164" t="s">
        <v>323</v>
      </c>
      <c r="F894" s="164" t="s">
        <v>324</v>
      </c>
      <c r="G894" s="146">
        <v>46028.0</v>
      </c>
      <c r="H894" s="159" t="s">
        <v>69</v>
      </c>
      <c r="I894" s="85"/>
    </row>
    <row r="895" ht="13.5" customHeight="1">
      <c r="A895" s="90">
        <v>891.0</v>
      </c>
      <c r="B895" s="146">
        <v>46028.0</v>
      </c>
      <c r="C895" s="164">
        <v>87.0</v>
      </c>
      <c r="D895" s="164">
        <v>108.0</v>
      </c>
      <c r="E895" s="164" t="s">
        <v>335</v>
      </c>
      <c r="F895" s="164" t="s">
        <v>324</v>
      </c>
      <c r="G895" s="146">
        <v>46028.0</v>
      </c>
      <c r="H895" s="159" t="s">
        <v>69</v>
      </c>
      <c r="I895" s="85"/>
    </row>
    <row r="896" ht="13.5" customHeight="1">
      <c r="A896" s="90">
        <v>892.0</v>
      </c>
      <c r="B896" s="146">
        <v>46028.0</v>
      </c>
      <c r="C896" s="164">
        <v>37.0</v>
      </c>
      <c r="D896" s="164">
        <v>126.0</v>
      </c>
      <c r="E896" s="164" t="s">
        <v>335</v>
      </c>
      <c r="F896" s="164" t="s">
        <v>324</v>
      </c>
      <c r="G896" s="146">
        <v>46028.0</v>
      </c>
      <c r="H896" s="159" t="s">
        <v>69</v>
      </c>
      <c r="I896" s="85"/>
    </row>
    <row r="897" ht="13.5" customHeight="1">
      <c r="A897" s="90">
        <v>893.0</v>
      </c>
      <c r="B897" s="146">
        <v>46029.0</v>
      </c>
      <c r="C897" s="78">
        <v>106.0</v>
      </c>
      <c r="D897" s="78">
        <v>88.0</v>
      </c>
      <c r="E897" s="164" t="s">
        <v>310</v>
      </c>
      <c r="F897" s="164" t="s">
        <v>314</v>
      </c>
      <c r="G897" s="146">
        <v>46031.0</v>
      </c>
      <c r="H897" s="159" t="s">
        <v>69</v>
      </c>
      <c r="I897" s="164" t="s">
        <v>333</v>
      </c>
    </row>
    <row r="898" ht="13.5" customHeight="1">
      <c r="A898" s="90">
        <v>894.0</v>
      </c>
      <c r="B898" s="146">
        <v>46029.0</v>
      </c>
      <c r="C898" s="164">
        <v>28.0</v>
      </c>
      <c r="D898" s="164">
        <v>5.0</v>
      </c>
      <c r="E898" s="164" t="s">
        <v>310</v>
      </c>
      <c r="F898" s="164" t="s">
        <v>324</v>
      </c>
      <c r="G898" s="146">
        <v>46029.0</v>
      </c>
      <c r="H898" s="159" t="s">
        <v>69</v>
      </c>
      <c r="I898" s="85"/>
    </row>
    <row r="899" ht="13.5" customHeight="1">
      <c r="A899" s="90">
        <v>895.0</v>
      </c>
      <c r="B899" s="146">
        <v>46029.0</v>
      </c>
      <c r="C899" s="164">
        <v>43.0</v>
      </c>
      <c r="D899" s="164">
        <v>18.0</v>
      </c>
      <c r="E899" s="164" t="s">
        <v>335</v>
      </c>
      <c r="F899" s="164" t="s">
        <v>324</v>
      </c>
      <c r="G899" s="146">
        <v>46029.0</v>
      </c>
      <c r="H899" s="159" t="s">
        <v>69</v>
      </c>
      <c r="I899" s="85"/>
    </row>
    <row r="900" ht="13.5" customHeight="1">
      <c r="A900" s="90">
        <v>896.0</v>
      </c>
      <c r="B900" s="146">
        <v>46029.0</v>
      </c>
      <c r="C900" s="164">
        <v>82.0</v>
      </c>
      <c r="D900" s="164">
        <v>30.0</v>
      </c>
      <c r="E900" s="164" t="s">
        <v>337</v>
      </c>
      <c r="F900" s="164" t="s">
        <v>324</v>
      </c>
      <c r="G900" s="146">
        <v>46029.0</v>
      </c>
      <c r="H900" s="159" t="s">
        <v>69</v>
      </c>
      <c r="I900" s="85"/>
    </row>
    <row r="901" ht="13.5" customHeight="1">
      <c r="A901" s="90">
        <v>897.0</v>
      </c>
      <c r="B901" s="146">
        <v>46029.0</v>
      </c>
      <c r="C901" s="164">
        <v>82.0</v>
      </c>
      <c r="D901" s="164">
        <v>73.0</v>
      </c>
      <c r="E901" s="164" t="s">
        <v>337</v>
      </c>
      <c r="F901" s="164" t="s">
        <v>324</v>
      </c>
      <c r="G901" s="146">
        <v>46029.0</v>
      </c>
      <c r="H901" s="159" t="s">
        <v>69</v>
      </c>
      <c r="I901" s="85"/>
    </row>
    <row r="902" ht="13.5" customHeight="1">
      <c r="A902" s="90">
        <v>898.0</v>
      </c>
      <c r="B902" s="146">
        <v>46029.0</v>
      </c>
      <c r="C902" s="164">
        <v>128.0</v>
      </c>
      <c r="D902" s="164">
        <v>25.0</v>
      </c>
      <c r="E902" s="164" t="s">
        <v>313</v>
      </c>
      <c r="F902" s="164" t="s">
        <v>324</v>
      </c>
      <c r="G902" s="146">
        <v>46029.0</v>
      </c>
      <c r="H902" s="159" t="s">
        <v>69</v>
      </c>
      <c r="I902" s="85"/>
    </row>
    <row r="903" ht="13.5" customHeight="1">
      <c r="A903" s="90">
        <v>899.0</v>
      </c>
      <c r="B903" s="146">
        <v>46029.0</v>
      </c>
      <c r="C903" s="164">
        <v>128.0</v>
      </c>
      <c r="D903" s="164">
        <v>27.0</v>
      </c>
      <c r="E903" s="164" t="s">
        <v>313</v>
      </c>
      <c r="F903" s="164" t="s">
        <v>324</v>
      </c>
      <c r="G903" s="146">
        <v>46029.0</v>
      </c>
      <c r="H903" s="159" t="s">
        <v>69</v>
      </c>
      <c r="I903" s="85"/>
    </row>
    <row r="904" ht="13.5" customHeight="1">
      <c r="A904" s="90">
        <v>900.0</v>
      </c>
      <c r="B904" s="146">
        <v>46029.0</v>
      </c>
      <c r="C904" s="164">
        <v>128.0</v>
      </c>
      <c r="D904" s="164">
        <v>29.0</v>
      </c>
      <c r="E904" s="164" t="s">
        <v>313</v>
      </c>
      <c r="F904" s="164" t="s">
        <v>324</v>
      </c>
      <c r="G904" s="146">
        <v>46029.0</v>
      </c>
      <c r="H904" s="159" t="s">
        <v>69</v>
      </c>
      <c r="I904" s="85"/>
    </row>
    <row r="905" ht="13.5" customHeight="1">
      <c r="A905" s="90">
        <v>901.0</v>
      </c>
      <c r="B905" s="146">
        <v>46029.0</v>
      </c>
      <c r="C905" s="164">
        <v>128.0</v>
      </c>
      <c r="D905" s="164">
        <v>31.0</v>
      </c>
      <c r="E905" s="164" t="s">
        <v>313</v>
      </c>
      <c r="F905" s="164" t="s">
        <v>324</v>
      </c>
      <c r="G905" s="146">
        <v>46029.0</v>
      </c>
      <c r="H905" s="159" t="s">
        <v>69</v>
      </c>
      <c r="I905" s="85"/>
    </row>
    <row r="906" ht="13.5" customHeight="1">
      <c r="A906" s="90">
        <v>902.0</v>
      </c>
      <c r="B906" s="146">
        <v>46029.0</v>
      </c>
      <c r="C906" s="164">
        <v>128.0</v>
      </c>
      <c r="D906" s="164">
        <v>33.0</v>
      </c>
      <c r="E906" s="164" t="s">
        <v>313</v>
      </c>
      <c r="F906" s="164" t="s">
        <v>324</v>
      </c>
      <c r="G906" s="146">
        <v>46029.0</v>
      </c>
      <c r="H906" s="159" t="s">
        <v>69</v>
      </c>
      <c r="I906" s="85"/>
    </row>
    <row r="907" ht="13.5" customHeight="1">
      <c r="A907" s="90">
        <v>903.0</v>
      </c>
      <c r="B907" s="146">
        <v>46029.0</v>
      </c>
      <c r="C907" s="164">
        <v>128.0</v>
      </c>
      <c r="D907" s="164">
        <v>35.0</v>
      </c>
      <c r="E907" s="164" t="s">
        <v>313</v>
      </c>
      <c r="F907" s="164" t="s">
        <v>324</v>
      </c>
      <c r="G907" s="146">
        <v>46029.0</v>
      </c>
      <c r="H907" s="159" t="s">
        <v>69</v>
      </c>
      <c r="I907" s="85"/>
    </row>
    <row r="908" ht="13.5" customHeight="1">
      <c r="A908" s="90">
        <v>904.0</v>
      </c>
      <c r="B908" s="146">
        <v>46029.0</v>
      </c>
      <c r="C908" s="164">
        <v>128.0</v>
      </c>
      <c r="D908" s="164">
        <v>43.0</v>
      </c>
      <c r="E908" s="164" t="s">
        <v>313</v>
      </c>
      <c r="F908" s="164" t="s">
        <v>324</v>
      </c>
      <c r="G908" s="146">
        <v>46029.0</v>
      </c>
      <c r="H908" s="159" t="s">
        <v>69</v>
      </c>
      <c r="I908" s="85"/>
    </row>
    <row r="909" ht="13.5" customHeight="1">
      <c r="A909" s="90">
        <v>905.0</v>
      </c>
      <c r="B909" s="146">
        <v>46029.0</v>
      </c>
      <c r="C909" s="164">
        <v>128.0</v>
      </c>
      <c r="D909" s="164">
        <v>45.0</v>
      </c>
      <c r="E909" s="164" t="s">
        <v>313</v>
      </c>
      <c r="F909" s="164" t="s">
        <v>324</v>
      </c>
      <c r="G909" s="146">
        <v>46029.0</v>
      </c>
      <c r="H909" s="159" t="s">
        <v>69</v>
      </c>
      <c r="I909" s="85"/>
    </row>
    <row r="910" ht="13.5" customHeight="1">
      <c r="A910" s="90">
        <v>906.0</v>
      </c>
      <c r="B910" s="146">
        <v>46029.0</v>
      </c>
      <c r="C910" s="164">
        <v>128.0</v>
      </c>
      <c r="D910" s="164">
        <v>53.0</v>
      </c>
      <c r="E910" s="164" t="s">
        <v>313</v>
      </c>
      <c r="F910" s="164" t="s">
        <v>324</v>
      </c>
      <c r="G910" s="146">
        <v>46029.0</v>
      </c>
      <c r="H910" s="159" t="s">
        <v>69</v>
      </c>
      <c r="I910" s="85"/>
    </row>
    <row r="911" ht="13.5" customHeight="1">
      <c r="A911" s="90">
        <v>907.0</v>
      </c>
      <c r="B911" s="146">
        <v>46029.0</v>
      </c>
      <c r="C911" s="164">
        <v>91.0</v>
      </c>
      <c r="D911" s="164">
        <v>36.0</v>
      </c>
      <c r="E911" s="164" t="s">
        <v>335</v>
      </c>
      <c r="F911" s="164" t="s">
        <v>324</v>
      </c>
      <c r="G911" s="146">
        <v>46029.0</v>
      </c>
      <c r="H911" s="159" t="s">
        <v>69</v>
      </c>
      <c r="I911" s="85"/>
    </row>
    <row r="912" ht="13.5" customHeight="1">
      <c r="A912" s="90">
        <v>908.0</v>
      </c>
      <c r="B912" s="146">
        <v>46029.0</v>
      </c>
      <c r="C912" s="164">
        <v>103.0</v>
      </c>
      <c r="D912" s="164">
        <v>83.0</v>
      </c>
      <c r="E912" s="164" t="s">
        <v>323</v>
      </c>
      <c r="F912" s="164" t="s">
        <v>324</v>
      </c>
      <c r="G912" s="146">
        <v>46029.0</v>
      </c>
      <c r="H912" s="159" t="s">
        <v>69</v>
      </c>
      <c r="I912" s="85"/>
    </row>
    <row r="913" ht="13.5" customHeight="1">
      <c r="A913" s="90">
        <v>909.0</v>
      </c>
      <c r="B913" s="146">
        <v>46030.0</v>
      </c>
      <c r="C913" s="164">
        <v>20.0</v>
      </c>
      <c r="D913" s="164">
        <v>68.0</v>
      </c>
      <c r="E913" s="164" t="s">
        <v>323</v>
      </c>
      <c r="F913" s="164" t="s">
        <v>324</v>
      </c>
      <c r="G913" s="146">
        <v>46030.0</v>
      </c>
      <c r="H913" s="159" t="s">
        <v>69</v>
      </c>
      <c r="I913" s="85"/>
    </row>
    <row r="914" ht="13.5" customHeight="1">
      <c r="A914" s="90">
        <v>910.0</v>
      </c>
      <c r="B914" s="146">
        <v>46030.0</v>
      </c>
      <c r="C914" s="164">
        <v>56.0</v>
      </c>
      <c r="D914" s="164">
        <v>106.0</v>
      </c>
      <c r="E914" s="164" t="s">
        <v>322</v>
      </c>
      <c r="F914" s="164" t="s">
        <v>320</v>
      </c>
      <c r="G914" s="146">
        <v>46030.0</v>
      </c>
      <c r="H914" s="159" t="s">
        <v>69</v>
      </c>
      <c r="I914" s="85"/>
    </row>
    <row r="915" ht="13.5" customHeight="1">
      <c r="A915" s="90">
        <v>911.0</v>
      </c>
      <c r="B915" s="146">
        <v>46030.0</v>
      </c>
      <c r="C915" s="164">
        <v>66.0</v>
      </c>
      <c r="D915" s="164">
        <v>12.0</v>
      </c>
      <c r="E915" s="164" t="s">
        <v>313</v>
      </c>
      <c r="F915" s="164" t="s">
        <v>324</v>
      </c>
      <c r="G915" s="146">
        <v>46030.0</v>
      </c>
      <c r="H915" s="159" t="s">
        <v>69</v>
      </c>
      <c r="I915" s="85"/>
    </row>
    <row r="916" ht="13.5" customHeight="1">
      <c r="A916" s="90">
        <v>912.0</v>
      </c>
      <c r="B916" s="146">
        <v>46030.0</v>
      </c>
      <c r="C916" s="164">
        <v>74.0</v>
      </c>
      <c r="D916" s="164">
        <v>12.0</v>
      </c>
      <c r="E916" s="164" t="s">
        <v>323</v>
      </c>
      <c r="F916" s="164" t="s">
        <v>324</v>
      </c>
      <c r="G916" s="146">
        <v>46030.0</v>
      </c>
      <c r="H916" s="159" t="s">
        <v>69</v>
      </c>
      <c r="I916" s="85"/>
    </row>
    <row r="917" ht="13.5" customHeight="1">
      <c r="A917" s="90">
        <v>913.0</v>
      </c>
      <c r="B917" s="146">
        <v>46030.0</v>
      </c>
      <c r="C917" s="164">
        <v>82.0</v>
      </c>
      <c r="D917" s="164">
        <v>73.0</v>
      </c>
      <c r="E917" s="164" t="s">
        <v>337</v>
      </c>
      <c r="F917" s="164" t="s">
        <v>324</v>
      </c>
      <c r="G917" s="146">
        <v>46030.0</v>
      </c>
      <c r="H917" s="159" t="s">
        <v>69</v>
      </c>
      <c r="I917" s="85"/>
    </row>
    <row r="918" ht="13.5" customHeight="1">
      <c r="A918" s="90">
        <v>914.0</v>
      </c>
      <c r="B918" s="146">
        <v>46030.0</v>
      </c>
      <c r="C918" s="164">
        <v>91.0</v>
      </c>
      <c r="D918" s="164">
        <v>36.0</v>
      </c>
      <c r="E918" s="164" t="s">
        <v>337</v>
      </c>
      <c r="F918" s="164" t="s">
        <v>324</v>
      </c>
      <c r="G918" s="146">
        <v>46030.0</v>
      </c>
      <c r="H918" s="159" t="s">
        <v>69</v>
      </c>
      <c r="I918" s="85"/>
    </row>
    <row r="919" ht="13.5" customHeight="1">
      <c r="A919" s="90">
        <v>915.0</v>
      </c>
      <c r="B919" s="146">
        <v>46030.0</v>
      </c>
      <c r="C919" s="164">
        <v>30.0</v>
      </c>
      <c r="D919" s="164">
        <v>87.0</v>
      </c>
      <c r="E919" s="164" t="s">
        <v>310</v>
      </c>
      <c r="F919" s="164" t="s">
        <v>324</v>
      </c>
      <c r="G919" s="146">
        <v>46030.0</v>
      </c>
      <c r="H919" s="159" t="s">
        <v>69</v>
      </c>
      <c r="I919" s="85"/>
    </row>
    <row r="920" ht="13.5" customHeight="1">
      <c r="A920" s="90">
        <v>916.0</v>
      </c>
      <c r="B920" s="146">
        <v>46030.0</v>
      </c>
      <c r="C920" s="164">
        <v>37.0</v>
      </c>
      <c r="D920" s="164">
        <v>126.0</v>
      </c>
      <c r="E920" s="164" t="s">
        <v>335</v>
      </c>
      <c r="F920" s="164" t="s">
        <v>324</v>
      </c>
      <c r="G920" s="146">
        <v>46030.0</v>
      </c>
      <c r="H920" s="159" t="s">
        <v>69</v>
      </c>
      <c r="I920" s="85"/>
    </row>
    <row r="921" ht="13.5" customHeight="1">
      <c r="A921" s="90">
        <v>917.0</v>
      </c>
      <c r="B921" s="146">
        <v>46030.0</v>
      </c>
      <c r="C921" s="164">
        <v>76.0</v>
      </c>
      <c r="D921" s="164">
        <v>106.0</v>
      </c>
      <c r="E921" s="164" t="s">
        <v>323</v>
      </c>
      <c r="F921" s="164" t="s">
        <v>324</v>
      </c>
      <c r="G921" s="146">
        <v>46030.0</v>
      </c>
      <c r="H921" s="159" t="s">
        <v>69</v>
      </c>
      <c r="I921" s="85"/>
    </row>
    <row r="922" ht="13.5" customHeight="1">
      <c r="A922" s="90">
        <v>918.0</v>
      </c>
      <c r="B922" s="146">
        <v>46030.0</v>
      </c>
      <c r="C922" s="164">
        <v>80.0</v>
      </c>
      <c r="D922" s="164">
        <v>28.0</v>
      </c>
      <c r="E922" s="164" t="s">
        <v>323</v>
      </c>
      <c r="F922" s="164" t="s">
        <v>324</v>
      </c>
      <c r="G922" s="146">
        <v>46030.0</v>
      </c>
      <c r="H922" s="159" t="s">
        <v>69</v>
      </c>
      <c r="I922" s="85"/>
    </row>
    <row r="923" ht="13.5" customHeight="1">
      <c r="A923" s="78">
        <v>919.0</v>
      </c>
      <c r="B923" s="146">
        <v>46031.0</v>
      </c>
      <c r="C923" s="78">
        <v>37.0</v>
      </c>
      <c r="D923" s="78">
        <v>126.0</v>
      </c>
      <c r="E923" s="164" t="s">
        <v>335</v>
      </c>
      <c r="F923" s="164" t="s">
        <v>324</v>
      </c>
      <c r="G923" s="146">
        <v>46031.0</v>
      </c>
      <c r="H923" s="159" t="s">
        <v>69</v>
      </c>
      <c r="I923" s="85"/>
    </row>
    <row r="924" ht="13.5" customHeight="1">
      <c r="A924" s="78">
        <v>920.0</v>
      </c>
      <c r="B924" s="146">
        <v>46031.0</v>
      </c>
      <c r="C924" s="78">
        <v>56.0</v>
      </c>
      <c r="D924" s="78">
        <v>45.0</v>
      </c>
      <c r="E924" s="164" t="s">
        <v>323</v>
      </c>
      <c r="F924" s="164" t="s">
        <v>324</v>
      </c>
      <c r="G924" s="146">
        <v>46031.0</v>
      </c>
      <c r="H924" s="159" t="s">
        <v>69</v>
      </c>
      <c r="I924" s="85"/>
    </row>
    <row r="925" ht="13.5" customHeight="1">
      <c r="A925" s="78">
        <v>921.0</v>
      </c>
      <c r="B925" s="146">
        <v>46032.0</v>
      </c>
      <c r="C925" s="78">
        <v>20.0</v>
      </c>
      <c r="D925" s="78">
        <v>68.0</v>
      </c>
      <c r="E925" s="164" t="s">
        <v>323</v>
      </c>
      <c r="F925" s="164" t="s">
        <v>324</v>
      </c>
      <c r="G925" s="146">
        <v>46032.0</v>
      </c>
      <c r="H925" s="159" t="s">
        <v>69</v>
      </c>
      <c r="I925" s="85"/>
    </row>
    <row r="926" ht="13.5" customHeight="1">
      <c r="A926" s="78">
        <v>922.0</v>
      </c>
      <c r="B926" s="146">
        <v>46032.0</v>
      </c>
      <c r="C926" s="78">
        <v>31.0</v>
      </c>
      <c r="D926" s="78">
        <v>21.0</v>
      </c>
      <c r="E926" s="164" t="s">
        <v>337</v>
      </c>
      <c r="F926" s="164" t="s">
        <v>324</v>
      </c>
      <c r="G926" s="146">
        <v>46032.0</v>
      </c>
      <c r="H926" s="159" t="s">
        <v>69</v>
      </c>
      <c r="I926" s="85"/>
    </row>
    <row r="927" ht="13.5" customHeight="1">
      <c r="A927" s="78">
        <v>923.0</v>
      </c>
      <c r="B927" s="146">
        <v>46032.0</v>
      </c>
      <c r="C927" s="78">
        <v>80.0</v>
      </c>
      <c r="D927" s="78">
        <v>110.0</v>
      </c>
      <c r="E927" s="164" t="s">
        <v>323</v>
      </c>
      <c r="F927" s="164" t="s">
        <v>324</v>
      </c>
      <c r="G927" s="146">
        <v>46032.0</v>
      </c>
      <c r="H927" s="159" t="s">
        <v>69</v>
      </c>
      <c r="I927" s="85"/>
    </row>
    <row r="928" ht="13.5" customHeight="1">
      <c r="A928" s="78">
        <v>924.0</v>
      </c>
      <c r="B928" s="146">
        <v>46032.0</v>
      </c>
      <c r="C928" s="78">
        <v>82.0</v>
      </c>
      <c r="D928" s="78">
        <v>73.0</v>
      </c>
      <c r="E928" s="164" t="s">
        <v>337</v>
      </c>
      <c r="F928" s="164" t="s">
        <v>324</v>
      </c>
      <c r="G928" s="146">
        <v>46032.0</v>
      </c>
      <c r="H928" s="159" t="s">
        <v>69</v>
      </c>
      <c r="I928" s="85"/>
    </row>
    <row r="929" ht="13.5" customHeight="1">
      <c r="A929" s="78">
        <v>925.0</v>
      </c>
      <c r="B929" s="146">
        <v>46033.0</v>
      </c>
      <c r="C929" s="164">
        <v>56.0</v>
      </c>
      <c r="D929" s="164">
        <v>39.0</v>
      </c>
      <c r="E929" s="164" t="s">
        <v>336</v>
      </c>
      <c r="F929" s="164" t="s">
        <v>324</v>
      </c>
      <c r="G929" s="146">
        <v>46033.0</v>
      </c>
      <c r="H929" s="159" t="s">
        <v>69</v>
      </c>
      <c r="I929" s="85"/>
    </row>
    <row r="930" ht="13.5" customHeight="1">
      <c r="A930" s="78">
        <v>926.0</v>
      </c>
      <c r="B930" s="146">
        <v>46033.0</v>
      </c>
      <c r="C930" s="164">
        <v>59.0</v>
      </c>
      <c r="D930" s="164">
        <v>79.0</v>
      </c>
      <c r="E930" s="164" t="s">
        <v>335</v>
      </c>
      <c r="F930" s="164" t="s">
        <v>314</v>
      </c>
      <c r="G930" s="146">
        <v>46034.0</v>
      </c>
      <c r="H930" s="159" t="s">
        <v>69</v>
      </c>
      <c r="I930" s="78" t="s">
        <v>380</v>
      </c>
    </row>
    <row r="931" ht="13.5" customHeight="1">
      <c r="A931" s="78">
        <v>927.0</v>
      </c>
      <c r="B931" s="146">
        <v>46033.0</v>
      </c>
      <c r="C931" s="164">
        <v>91.0</v>
      </c>
      <c r="D931" s="164">
        <v>36.0</v>
      </c>
      <c r="E931" s="164" t="s">
        <v>337</v>
      </c>
      <c r="F931" s="164" t="s">
        <v>324</v>
      </c>
      <c r="G931" s="146">
        <v>46033.0</v>
      </c>
      <c r="H931" s="159" t="s">
        <v>69</v>
      </c>
      <c r="I931" s="85"/>
    </row>
    <row r="932" ht="13.5" customHeight="1">
      <c r="A932" s="78">
        <v>928.0</v>
      </c>
      <c r="B932" s="146">
        <v>46033.0</v>
      </c>
      <c r="C932" s="78">
        <v>37.0</v>
      </c>
      <c r="D932" s="78">
        <v>71.0</v>
      </c>
      <c r="E932" s="78" t="s">
        <v>308</v>
      </c>
      <c r="F932" s="164" t="s">
        <v>285</v>
      </c>
      <c r="G932" s="146">
        <v>46034.0</v>
      </c>
      <c r="H932" s="159" t="s">
        <v>69</v>
      </c>
      <c r="I932" s="78" t="s">
        <v>340</v>
      </c>
    </row>
    <row r="933" ht="13.5" customHeight="1">
      <c r="A933" s="78">
        <v>929.0</v>
      </c>
      <c r="B933" s="146">
        <v>46033.0</v>
      </c>
      <c r="C933" s="78">
        <v>37.0</v>
      </c>
      <c r="D933" s="78">
        <v>126.0</v>
      </c>
      <c r="E933" s="78" t="s">
        <v>308</v>
      </c>
      <c r="F933" s="164" t="s">
        <v>314</v>
      </c>
      <c r="G933" s="146">
        <v>46034.0</v>
      </c>
      <c r="H933" s="159" t="s">
        <v>69</v>
      </c>
      <c r="I933" s="78" t="s">
        <v>388</v>
      </c>
    </row>
    <row r="934" ht="13.5" customHeight="1">
      <c r="A934" s="78">
        <v>930.0</v>
      </c>
      <c r="B934" s="146">
        <v>46033.0</v>
      </c>
      <c r="C934" s="78">
        <v>63.0</v>
      </c>
      <c r="D934" s="78">
        <v>87.0</v>
      </c>
      <c r="E934" s="78" t="s">
        <v>308</v>
      </c>
      <c r="F934" s="164" t="s">
        <v>314</v>
      </c>
      <c r="G934" s="146">
        <v>46034.0</v>
      </c>
      <c r="H934" s="159" t="s">
        <v>69</v>
      </c>
      <c r="I934" s="78" t="s">
        <v>388</v>
      </c>
    </row>
    <row r="935" ht="13.5" customHeight="1">
      <c r="A935" s="78">
        <v>931.0</v>
      </c>
      <c r="B935" s="146">
        <v>46034.0</v>
      </c>
      <c r="C935" s="78">
        <v>132.0</v>
      </c>
      <c r="D935" s="78">
        <v>53.0</v>
      </c>
      <c r="E935" s="164" t="s">
        <v>337</v>
      </c>
      <c r="F935" s="164" t="s">
        <v>324</v>
      </c>
      <c r="G935" s="146">
        <v>46034.0</v>
      </c>
      <c r="H935" s="159" t="s">
        <v>69</v>
      </c>
      <c r="I935" s="85"/>
    </row>
    <row r="936" ht="13.5" customHeight="1">
      <c r="A936" s="78">
        <v>932.0</v>
      </c>
      <c r="B936" s="146">
        <v>46034.0</v>
      </c>
      <c r="C936" s="78">
        <v>19.0</v>
      </c>
      <c r="D936" s="78">
        <v>59.0</v>
      </c>
      <c r="E936" s="164" t="s">
        <v>310</v>
      </c>
      <c r="F936" s="164" t="s">
        <v>314</v>
      </c>
      <c r="G936" s="146">
        <v>46035.0</v>
      </c>
      <c r="H936" s="159" t="s">
        <v>69</v>
      </c>
      <c r="I936" s="78" t="s">
        <v>388</v>
      </c>
    </row>
    <row r="937" ht="13.5" customHeight="1">
      <c r="A937" s="78">
        <v>933.0</v>
      </c>
      <c r="B937" s="146">
        <v>46034.0</v>
      </c>
      <c r="C937" s="78">
        <v>48.0</v>
      </c>
      <c r="D937" s="78">
        <v>15.0</v>
      </c>
      <c r="E937" s="164" t="s">
        <v>310</v>
      </c>
      <c r="F937" s="164" t="s">
        <v>314</v>
      </c>
      <c r="G937" s="146">
        <v>46035.0</v>
      </c>
      <c r="H937" s="159" t="s">
        <v>69</v>
      </c>
      <c r="I937" s="78" t="s">
        <v>332</v>
      </c>
    </row>
    <row r="938" ht="13.5" customHeight="1">
      <c r="A938" s="78">
        <v>934.0</v>
      </c>
      <c r="B938" s="146">
        <v>46036.0</v>
      </c>
      <c r="C938" s="78">
        <v>19.0</v>
      </c>
      <c r="D938" s="164">
        <v>59.0</v>
      </c>
      <c r="E938" s="164" t="s">
        <v>310</v>
      </c>
      <c r="F938" s="164" t="s">
        <v>324</v>
      </c>
      <c r="G938" s="146">
        <v>46036.0</v>
      </c>
      <c r="H938" s="159" t="s">
        <v>69</v>
      </c>
      <c r="I938" s="85"/>
    </row>
    <row r="939" ht="13.5" customHeight="1">
      <c r="A939" s="78">
        <v>935.0</v>
      </c>
      <c r="B939" s="146">
        <v>46036.0</v>
      </c>
      <c r="C939" s="78">
        <v>128.0</v>
      </c>
      <c r="D939" s="164">
        <v>2.0</v>
      </c>
      <c r="E939" s="164" t="s">
        <v>322</v>
      </c>
      <c r="F939" s="164" t="s">
        <v>324</v>
      </c>
      <c r="G939" s="146">
        <v>46036.0</v>
      </c>
      <c r="H939" s="159" t="s">
        <v>69</v>
      </c>
      <c r="I939" s="85"/>
    </row>
    <row r="940" ht="13.5" customHeight="1">
      <c r="A940" s="78">
        <v>936.0</v>
      </c>
      <c r="B940" s="146">
        <v>46036.0</v>
      </c>
      <c r="C940" s="78">
        <v>128.0</v>
      </c>
      <c r="D940" s="164">
        <v>116.0</v>
      </c>
      <c r="E940" s="164" t="s">
        <v>322</v>
      </c>
      <c r="F940" s="164" t="s">
        <v>324</v>
      </c>
      <c r="G940" s="146">
        <v>46036.0</v>
      </c>
      <c r="H940" s="159" t="s">
        <v>69</v>
      </c>
      <c r="I940" s="85"/>
    </row>
    <row r="941" ht="13.5" customHeight="1">
      <c r="A941" s="78">
        <v>937.0</v>
      </c>
      <c r="B941" s="146">
        <v>46037.0</v>
      </c>
      <c r="C941" s="78">
        <v>74.0</v>
      </c>
      <c r="D941" s="78">
        <v>27.0</v>
      </c>
      <c r="E941" s="78" t="s">
        <v>323</v>
      </c>
      <c r="F941" s="164" t="s">
        <v>324</v>
      </c>
      <c r="G941" s="146">
        <v>46037.0</v>
      </c>
      <c r="H941" s="159" t="s">
        <v>69</v>
      </c>
      <c r="I941" s="85"/>
    </row>
    <row r="942" ht="13.5" customHeight="1">
      <c r="A942" s="78">
        <v>938.0</v>
      </c>
      <c r="B942" s="146">
        <v>46038.0</v>
      </c>
      <c r="C942" s="164">
        <v>4.0</v>
      </c>
      <c r="D942" s="164">
        <v>35.0</v>
      </c>
      <c r="E942" s="164" t="s">
        <v>337</v>
      </c>
      <c r="F942" s="164" t="s">
        <v>324</v>
      </c>
      <c r="G942" s="146">
        <v>46039.0</v>
      </c>
      <c r="H942" s="159" t="s">
        <v>69</v>
      </c>
      <c r="I942" s="85"/>
    </row>
    <row r="943" ht="13.5" customHeight="1">
      <c r="A943" s="78">
        <v>939.0</v>
      </c>
      <c r="B943" s="146">
        <v>46038.0</v>
      </c>
      <c r="C943" s="164">
        <v>14.0</v>
      </c>
      <c r="D943" s="164">
        <v>71.0</v>
      </c>
      <c r="E943" s="164" t="s">
        <v>323</v>
      </c>
      <c r="F943" s="164" t="s">
        <v>324</v>
      </c>
      <c r="G943" s="146">
        <v>46039.0</v>
      </c>
      <c r="H943" s="159" t="s">
        <v>69</v>
      </c>
      <c r="I943" s="85"/>
    </row>
    <row r="944" ht="13.5" customHeight="1">
      <c r="A944" s="78">
        <v>940.0</v>
      </c>
      <c r="B944" s="146">
        <v>46038.0</v>
      </c>
      <c r="C944" s="164">
        <v>14.0</v>
      </c>
      <c r="D944" s="164">
        <v>103.0</v>
      </c>
      <c r="E944" s="164" t="s">
        <v>335</v>
      </c>
      <c r="F944" s="164" t="s">
        <v>324</v>
      </c>
      <c r="G944" s="146">
        <v>46039.0</v>
      </c>
      <c r="H944" s="159" t="s">
        <v>69</v>
      </c>
      <c r="I944" s="85"/>
    </row>
    <row r="945" ht="13.5" customHeight="1">
      <c r="A945" s="78">
        <v>941.0</v>
      </c>
      <c r="B945" s="146">
        <v>46038.0</v>
      </c>
      <c r="C945" s="164">
        <v>22.0</v>
      </c>
      <c r="D945" s="164">
        <v>44.0</v>
      </c>
      <c r="E945" s="164" t="s">
        <v>323</v>
      </c>
      <c r="F945" s="164" t="s">
        <v>324</v>
      </c>
      <c r="G945" s="146">
        <v>46039.0</v>
      </c>
      <c r="H945" s="159" t="s">
        <v>69</v>
      </c>
      <c r="I945" s="85"/>
    </row>
    <row r="946" ht="15.75" customHeight="1">
      <c r="A946" s="78">
        <v>942.0</v>
      </c>
      <c r="B946" s="146">
        <v>46038.0</v>
      </c>
      <c r="C946" s="164">
        <v>22.0</v>
      </c>
      <c r="D946" s="164">
        <v>62.0</v>
      </c>
      <c r="E946" s="164" t="s">
        <v>323</v>
      </c>
      <c r="F946" s="164" t="s">
        <v>324</v>
      </c>
      <c r="G946" s="146">
        <v>46039.0</v>
      </c>
      <c r="H946" s="159" t="s">
        <v>69</v>
      </c>
      <c r="I946" s="85"/>
    </row>
    <row r="947" ht="15.75" customHeight="1">
      <c r="A947" s="78">
        <v>943.0</v>
      </c>
      <c r="B947" s="146">
        <v>46038.0</v>
      </c>
      <c r="C947" s="164">
        <v>22.0</v>
      </c>
      <c r="D947" s="164">
        <v>105.0</v>
      </c>
      <c r="E947" s="164" t="s">
        <v>323</v>
      </c>
      <c r="F947" s="164" t="s">
        <v>324</v>
      </c>
      <c r="G947" s="146">
        <v>46039.0</v>
      </c>
      <c r="H947" s="159" t="s">
        <v>69</v>
      </c>
      <c r="I947" s="85"/>
    </row>
    <row r="948" ht="15.75" customHeight="1">
      <c r="A948" s="78">
        <v>944.0</v>
      </c>
      <c r="B948" s="146">
        <v>46038.0</v>
      </c>
      <c r="C948" s="164">
        <v>22.0</v>
      </c>
      <c r="D948" s="164">
        <v>108.0</v>
      </c>
      <c r="E948" s="164" t="s">
        <v>323</v>
      </c>
      <c r="F948" s="164" t="s">
        <v>324</v>
      </c>
      <c r="G948" s="146">
        <v>46039.0</v>
      </c>
      <c r="H948" s="159" t="s">
        <v>69</v>
      </c>
      <c r="I948" s="85"/>
    </row>
    <row r="949" ht="15.75" customHeight="1">
      <c r="A949" s="78">
        <v>945.0</v>
      </c>
      <c r="B949" s="146">
        <v>46038.0</v>
      </c>
      <c r="C949" s="164">
        <v>23.0</v>
      </c>
      <c r="D949" s="164">
        <v>16.0</v>
      </c>
      <c r="E949" s="164" t="s">
        <v>323</v>
      </c>
      <c r="F949" s="164" t="s">
        <v>324</v>
      </c>
      <c r="G949" s="146">
        <v>46039.0</v>
      </c>
      <c r="H949" s="159" t="s">
        <v>69</v>
      </c>
      <c r="I949" s="85"/>
    </row>
    <row r="950" ht="15.75" customHeight="1">
      <c r="A950" s="78">
        <v>946.0</v>
      </c>
      <c r="B950" s="146">
        <v>46038.0</v>
      </c>
      <c r="C950" s="164">
        <v>23.0</v>
      </c>
      <c r="D950" s="164">
        <v>22.0</v>
      </c>
      <c r="E950" s="164" t="s">
        <v>323</v>
      </c>
      <c r="F950" s="164" t="s">
        <v>324</v>
      </c>
      <c r="G950" s="146">
        <v>46039.0</v>
      </c>
      <c r="H950" s="159" t="s">
        <v>69</v>
      </c>
      <c r="I950" s="85"/>
    </row>
    <row r="951" ht="15.75" customHeight="1">
      <c r="A951" s="78">
        <v>947.0</v>
      </c>
      <c r="B951" s="146">
        <v>46038.0</v>
      </c>
      <c r="C951" s="164">
        <v>26.0</v>
      </c>
      <c r="D951" s="164">
        <v>36.0</v>
      </c>
      <c r="E951" s="164" t="s">
        <v>323</v>
      </c>
      <c r="F951" s="164" t="s">
        <v>324</v>
      </c>
      <c r="G951" s="146">
        <v>46039.0</v>
      </c>
      <c r="H951" s="159" t="s">
        <v>69</v>
      </c>
      <c r="I951" s="85"/>
    </row>
    <row r="952" ht="15.75" customHeight="1">
      <c r="A952" s="78">
        <v>948.0</v>
      </c>
      <c r="B952" s="146">
        <v>46038.0</v>
      </c>
      <c r="C952" s="164">
        <v>26.0</v>
      </c>
      <c r="D952" s="164">
        <v>61.0</v>
      </c>
      <c r="E952" s="164" t="s">
        <v>323</v>
      </c>
      <c r="F952" s="164" t="s">
        <v>324</v>
      </c>
      <c r="G952" s="146">
        <v>46039.0</v>
      </c>
      <c r="H952" s="159" t="s">
        <v>69</v>
      </c>
      <c r="I952" s="85"/>
    </row>
    <row r="953" ht="15.75" customHeight="1">
      <c r="A953" s="78">
        <v>949.0</v>
      </c>
      <c r="B953" s="146">
        <v>46038.0</v>
      </c>
      <c r="C953" s="164">
        <v>26.0</v>
      </c>
      <c r="D953" s="164">
        <v>131.0</v>
      </c>
      <c r="E953" s="164" t="s">
        <v>323</v>
      </c>
      <c r="F953" s="164" t="s">
        <v>324</v>
      </c>
      <c r="G953" s="146">
        <v>46039.0</v>
      </c>
      <c r="H953" s="159" t="s">
        <v>69</v>
      </c>
      <c r="I953" s="85"/>
    </row>
    <row r="954" ht="15.75" customHeight="1">
      <c r="A954" s="78">
        <v>950.0</v>
      </c>
      <c r="B954" s="146">
        <v>46038.0</v>
      </c>
      <c r="C954" s="164">
        <v>31.0</v>
      </c>
      <c r="D954" s="164">
        <v>20.0</v>
      </c>
      <c r="E954" s="164" t="s">
        <v>323</v>
      </c>
      <c r="F954" s="164" t="s">
        <v>324</v>
      </c>
      <c r="G954" s="146">
        <v>46039.0</v>
      </c>
      <c r="H954" s="159" t="s">
        <v>69</v>
      </c>
      <c r="I954" s="85"/>
    </row>
    <row r="955" ht="15.75" customHeight="1">
      <c r="A955" s="78">
        <v>951.0</v>
      </c>
      <c r="B955" s="146">
        <v>46038.0</v>
      </c>
      <c r="C955" s="164">
        <v>36.0</v>
      </c>
      <c r="D955" s="164">
        <v>72.0</v>
      </c>
      <c r="E955" s="164" t="s">
        <v>323</v>
      </c>
      <c r="F955" s="164" t="s">
        <v>324</v>
      </c>
      <c r="G955" s="146">
        <v>46039.0</v>
      </c>
      <c r="H955" s="159" t="s">
        <v>69</v>
      </c>
      <c r="I955" s="85"/>
    </row>
    <row r="956" ht="15.75" customHeight="1">
      <c r="A956" s="78">
        <v>952.0</v>
      </c>
      <c r="B956" s="146">
        <v>46038.0</v>
      </c>
      <c r="C956" s="164">
        <v>42.0</v>
      </c>
      <c r="D956" s="164">
        <v>107.0</v>
      </c>
      <c r="E956" s="164" t="s">
        <v>323</v>
      </c>
      <c r="F956" s="164" t="s">
        <v>324</v>
      </c>
      <c r="G956" s="146">
        <v>46039.0</v>
      </c>
      <c r="H956" s="159" t="s">
        <v>69</v>
      </c>
      <c r="I956" s="85"/>
    </row>
    <row r="957" ht="15.75" customHeight="1">
      <c r="A957" s="78">
        <v>953.0</v>
      </c>
      <c r="B957" s="146">
        <v>46038.0</v>
      </c>
      <c r="C957" s="164">
        <v>50.0</v>
      </c>
      <c r="D957" s="164">
        <v>24.0</v>
      </c>
      <c r="E957" s="164" t="s">
        <v>323</v>
      </c>
      <c r="F957" s="164" t="s">
        <v>324</v>
      </c>
      <c r="G957" s="146">
        <v>46039.0</v>
      </c>
      <c r="H957" s="159" t="s">
        <v>69</v>
      </c>
      <c r="I957" s="85"/>
    </row>
    <row r="958" ht="15.75" customHeight="1">
      <c r="A958" s="78">
        <v>954.0</v>
      </c>
      <c r="B958" s="146">
        <v>46038.0</v>
      </c>
      <c r="C958" s="164">
        <v>50.0</v>
      </c>
      <c r="D958" s="164">
        <v>36.0</v>
      </c>
      <c r="E958" s="164" t="s">
        <v>323</v>
      </c>
      <c r="F958" s="164" t="s">
        <v>324</v>
      </c>
      <c r="G958" s="146">
        <v>46039.0</v>
      </c>
      <c r="H958" s="159" t="s">
        <v>69</v>
      </c>
      <c r="I958" s="85"/>
    </row>
    <row r="959" ht="15.75" customHeight="1">
      <c r="A959" s="78">
        <v>955.0</v>
      </c>
      <c r="B959" s="146">
        <v>46038.0</v>
      </c>
      <c r="C959" s="164">
        <v>56.0</v>
      </c>
      <c r="D959" s="164">
        <v>120.0</v>
      </c>
      <c r="E959" s="164" t="s">
        <v>337</v>
      </c>
      <c r="F959" s="164" t="s">
        <v>324</v>
      </c>
      <c r="G959" s="146">
        <v>46039.0</v>
      </c>
      <c r="H959" s="159" t="s">
        <v>69</v>
      </c>
      <c r="I959" s="85"/>
    </row>
    <row r="960" ht="15.75" customHeight="1">
      <c r="A960" s="78">
        <v>956.0</v>
      </c>
      <c r="B960" s="146">
        <v>46038.0</v>
      </c>
      <c r="C960" s="164">
        <v>57.0</v>
      </c>
      <c r="D960" s="164">
        <v>63.0</v>
      </c>
      <c r="E960" s="164" t="s">
        <v>323</v>
      </c>
      <c r="F960" s="164" t="s">
        <v>324</v>
      </c>
      <c r="G960" s="146">
        <v>46039.0</v>
      </c>
      <c r="H960" s="159" t="s">
        <v>69</v>
      </c>
      <c r="I960" s="85"/>
    </row>
    <row r="961" ht="15.75" customHeight="1">
      <c r="A961" s="78">
        <v>957.0</v>
      </c>
      <c r="B961" s="146">
        <v>46038.0</v>
      </c>
      <c r="C961" s="164">
        <v>67.0</v>
      </c>
      <c r="D961" s="164">
        <v>27.0</v>
      </c>
      <c r="E961" s="164" t="s">
        <v>323</v>
      </c>
      <c r="F961" s="164" t="s">
        <v>324</v>
      </c>
      <c r="G961" s="146">
        <v>46039.0</v>
      </c>
      <c r="H961" s="159" t="s">
        <v>69</v>
      </c>
      <c r="I961" s="85"/>
    </row>
    <row r="962" ht="15.75" customHeight="1">
      <c r="A962" s="78">
        <v>958.0</v>
      </c>
      <c r="B962" s="146">
        <v>46038.0</v>
      </c>
      <c r="C962" s="164">
        <v>68.0</v>
      </c>
      <c r="D962" s="164">
        <v>137.0</v>
      </c>
      <c r="E962" s="164" t="s">
        <v>323</v>
      </c>
      <c r="F962" s="164" t="s">
        <v>324</v>
      </c>
      <c r="G962" s="146">
        <v>46039.0</v>
      </c>
      <c r="H962" s="159" t="s">
        <v>69</v>
      </c>
      <c r="I962" s="85"/>
    </row>
    <row r="963" ht="15.75" customHeight="1">
      <c r="A963" s="78">
        <v>959.0</v>
      </c>
      <c r="B963" s="146">
        <v>46038.0</v>
      </c>
      <c r="C963" s="164">
        <v>70.0</v>
      </c>
      <c r="D963" s="164">
        <v>26.0</v>
      </c>
      <c r="E963" s="164" t="s">
        <v>323</v>
      </c>
      <c r="F963" s="164" t="s">
        <v>324</v>
      </c>
      <c r="G963" s="146">
        <v>46039.0</v>
      </c>
      <c r="H963" s="159" t="s">
        <v>69</v>
      </c>
      <c r="I963" s="85"/>
    </row>
    <row r="964" ht="15.75" customHeight="1">
      <c r="A964" s="78">
        <v>960.0</v>
      </c>
      <c r="B964" s="146">
        <v>46038.0</v>
      </c>
      <c r="C964" s="164">
        <v>70.0</v>
      </c>
      <c r="D964" s="164">
        <v>38.0</v>
      </c>
      <c r="E964" s="164" t="s">
        <v>323</v>
      </c>
      <c r="F964" s="164" t="s">
        <v>324</v>
      </c>
      <c r="G964" s="146">
        <v>46039.0</v>
      </c>
      <c r="H964" s="159" t="s">
        <v>69</v>
      </c>
      <c r="I964" s="85"/>
    </row>
    <row r="965" ht="15.75" customHeight="1">
      <c r="A965" s="78">
        <v>961.0</v>
      </c>
      <c r="B965" s="146">
        <v>46038.0</v>
      </c>
      <c r="C965" s="164">
        <v>70.0</v>
      </c>
      <c r="D965" s="164">
        <v>43.0</v>
      </c>
      <c r="E965" s="164" t="s">
        <v>323</v>
      </c>
      <c r="F965" s="164" t="s">
        <v>324</v>
      </c>
      <c r="G965" s="146">
        <v>46039.0</v>
      </c>
      <c r="H965" s="159" t="s">
        <v>69</v>
      </c>
      <c r="I965" s="85"/>
    </row>
    <row r="966" ht="15.75" customHeight="1">
      <c r="A966" s="78">
        <v>962.0</v>
      </c>
      <c r="B966" s="146">
        <v>46038.0</v>
      </c>
      <c r="C966" s="164">
        <v>70.0</v>
      </c>
      <c r="D966" s="164">
        <v>47.0</v>
      </c>
      <c r="E966" s="164" t="s">
        <v>323</v>
      </c>
      <c r="F966" s="164" t="s">
        <v>324</v>
      </c>
      <c r="G966" s="146">
        <v>46039.0</v>
      </c>
      <c r="H966" s="159" t="s">
        <v>69</v>
      </c>
      <c r="I966" s="85"/>
    </row>
    <row r="967" ht="15.75" customHeight="1">
      <c r="A967" s="78">
        <v>963.0</v>
      </c>
      <c r="B967" s="146">
        <v>46038.0</v>
      </c>
      <c r="C967" s="164">
        <v>70.0</v>
      </c>
      <c r="D967" s="164">
        <v>55.0</v>
      </c>
      <c r="E967" s="164" t="s">
        <v>323</v>
      </c>
      <c r="F967" s="164" t="s">
        <v>324</v>
      </c>
      <c r="G967" s="146">
        <v>46039.0</v>
      </c>
      <c r="H967" s="159" t="s">
        <v>69</v>
      </c>
      <c r="I967" s="85"/>
    </row>
    <row r="968" ht="15.75" customHeight="1">
      <c r="A968" s="78">
        <v>964.0</v>
      </c>
      <c r="B968" s="146">
        <v>46038.0</v>
      </c>
      <c r="C968" s="164">
        <v>70.0</v>
      </c>
      <c r="D968" s="164">
        <v>59.0</v>
      </c>
      <c r="E968" s="164" t="s">
        <v>323</v>
      </c>
      <c r="F968" s="164" t="s">
        <v>324</v>
      </c>
      <c r="G968" s="146">
        <v>46039.0</v>
      </c>
      <c r="H968" s="159" t="s">
        <v>69</v>
      </c>
      <c r="I968" s="85"/>
    </row>
    <row r="969" ht="15.75" customHeight="1">
      <c r="A969" s="78">
        <v>965.0</v>
      </c>
      <c r="B969" s="146">
        <v>46038.0</v>
      </c>
      <c r="C969" s="164">
        <v>70.0</v>
      </c>
      <c r="D969" s="164">
        <v>61.0</v>
      </c>
      <c r="E969" s="164" t="s">
        <v>323</v>
      </c>
      <c r="F969" s="164" t="s">
        <v>324</v>
      </c>
      <c r="G969" s="146">
        <v>46039.0</v>
      </c>
      <c r="H969" s="159" t="s">
        <v>69</v>
      </c>
      <c r="I969" s="85"/>
    </row>
    <row r="970" ht="15.75" customHeight="1">
      <c r="A970" s="78">
        <v>966.0</v>
      </c>
      <c r="B970" s="146">
        <v>46038.0</v>
      </c>
      <c r="C970" s="164">
        <v>70.0</v>
      </c>
      <c r="D970" s="164">
        <v>63.0</v>
      </c>
      <c r="E970" s="164" t="s">
        <v>323</v>
      </c>
      <c r="F970" s="164" t="s">
        <v>324</v>
      </c>
      <c r="G970" s="146">
        <v>46039.0</v>
      </c>
      <c r="H970" s="159" t="s">
        <v>69</v>
      </c>
      <c r="I970" s="85"/>
    </row>
    <row r="971" ht="15.75" customHeight="1">
      <c r="A971" s="78">
        <v>967.0</v>
      </c>
      <c r="B971" s="146">
        <v>46038.0</v>
      </c>
      <c r="C971" s="164">
        <v>70.0</v>
      </c>
      <c r="D971" s="164">
        <v>92.0</v>
      </c>
      <c r="E971" s="164" t="s">
        <v>323</v>
      </c>
      <c r="F971" s="164" t="s">
        <v>324</v>
      </c>
      <c r="G971" s="146">
        <v>46039.0</v>
      </c>
      <c r="H971" s="159" t="s">
        <v>69</v>
      </c>
      <c r="I971" s="85"/>
    </row>
    <row r="972" ht="15.75" customHeight="1">
      <c r="A972" s="78">
        <v>968.0</v>
      </c>
      <c r="B972" s="146">
        <v>46038.0</v>
      </c>
      <c r="C972" s="164">
        <v>70.0</v>
      </c>
      <c r="D972" s="164">
        <v>94.0</v>
      </c>
      <c r="E972" s="164" t="s">
        <v>323</v>
      </c>
      <c r="F972" s="164" t="s">
        <v>324</v>
      </c>
      <c r="G972" s="146">
        <v>46039.0</v>
      </c>
      <c r="H972" s="159" t="s">
        <v>69</v>
      </c>
      <c r="I972" s="85"/>
    </row>
    <row r="973" ht="15.75" customHeight="1">
      <c r="A973" s="78">
        <v>969.0</v>
      </c>
      <c r="B973" s="146">
        <v>46038.0</v>
      </c>
      <c r="C973" s="164">
        <v>79.0</v>
      </c>
      <c r="D973" s="164">
        <v>84.0</v>
      </c>
      <c r="E973" s="164" t="s">
        <v>323</v>
      </c>
      <c r="F973" s="164" t="s">
        <v>324</v>
      </c>
      <c r="G973" s="146">
        <v>46039.0</v>
      </c>
      <c r="H973" s="159" t="s">
        <v>69</v>
      </c>
      <c r="I973" s="85"/>
    </row>
    <row r="974" ht="15.75" customHeight="1">
      <c r="A974" s="78">
        <v>970.0</v>
      </c>
      <c r="B974" s="146">
        <v>46038.0</v>
      </c>
      <c r="C974" s="164">
        <v>80.0</v>
      </c>
      <c r="D974" s="164">
        <v>134.0</v>
      </c>
      <c r="E974" s="164" t="s">
        <v>323</v>
      </c>
      <c r="F974" s="164" t="s">
        <v>324</v>
      </c>
      <c r="G974" s="146">
        <v>46039.0</v>
      </c>
      <c r="H974" s="159" t="s">
        <v>69</v>
      </c>
      <c r="I974" s="85"/>
    </row>
    <row r="975" ht="15.75" customHeight="1">
      <c r="A975" s="78">
        <v>971.0</v>
      </c>
      <c r="B975" s="146">
        <v>46038.0</v>
      </c>
      <c r="C975" s="164">
        <v>90.0</v>
      </c>
      <c r="D975" s="164">
        <v>117.0</v>
      </c>
      <c r="E975" s="164" t="s">
        <v>323</v>
      </c>
      <c r="F975" s="164" t="s">
        <v>324</v>
      </c>
      <c r="G975" s="146">
        <v>46039.0</v>
      </c>
      <c r="H975" s="159" t="s">
        <v>69</v>
      </c>
      <c r="I975" s="85"/>
    </row>
    <row r="976" ht="15.75" customHeight="1">
      <c r="A976" s="78">
        <v>972.0</v>
      </c>
      <c r="B976" s="146">
        <v>46038.0</v>
      </c>
      <c r="C976" s="164">
        <v>94.0</v>
      </c>
      <c r="D976" s="164">
        <v>134.0</v>
      </c>
      <c r="E976" s="164" t="s">
        <v>323</v>
      </c>
      <c r="F976" s="164" t="s">
        <v>324</v>
      </c>
      <c r="G976" s="146">
        <v>46039.0</v>
      </c>
      <c r="H976" s="159" t="s">
        <v>69</v>
      </c>
      <c r="I976" s="85"/>
    </row>
    <row r="977" ht="15.75" customHeight="1">
      <c r="A977" s="78">
        <v>973.0</v>
      </c>
      <c r="B977" s="146">
        <v>46038.0</v>
      </c>
      <c r="C977" s="164">
        <v>95.0</v>
      </c>
      <c r="D977" s="164">
        <v>3.0</v>
      </c>
      <c r="E977" s="164" t="s">
        <v>323</v>
      </c>
      <c r="F977" s="164" t="s">
        <v>324</v>
      </c>
      <c r="G977" s="146">
        <v>46039.0</v>
      </c>
      <c r="H977" s="159" t="s">
        <v>69</v>
      </c>
      <c r="I977" s="85"/>
    </row>
    <row r="978" ht="15.75" customHeight="1">
      <c r="A978" s="78">
        <v>974.0</v>
      </c>
      <c r="B978" s="146">
        <v>46038.0</v>
      </c>
      <c r="C978" s="164">
        <v>95.0</v>
      </c>
      <c r="D978" s="164">
        <v>66.0</v>
      </c>
      <c r="E978" s="164" t="s">
        <v>323</v>
      </c>
      <c r="F978" s="164" t="s">
        <v>324</v>
      </c>
      <c r="G978" s="146">
        <v>46039.0</v>
      </c>
      <c r="H978" s="159" t="s">
        <v>69</v>
      </c>
      <c r="I978" s="85"/>
    </row>
    <row r="979" ht="15.75" customHeight="1">
      <c r="A979" s="78">
        <v>975.0</v>
      </c>
      <c r="B979" s="146">
        <v>46038.0</v>
      </c>
      <c r="C979" s="164">
        <v>95.0</v>
      </c>
      <c r="D979" s="164">
        <v>135.0</v>
      </c>
      <c r="E979" s="164" t="s">
        <v>323</v>
      </c>
      <c r="F979" s="164" t="s">
        <v>324</v>
      </c>
      <c r="G979" s="146">
        <v>46039.0</v>
      </c>
      <c r="H979" s="159" t="s">
        <v>69</v>
      </c>
      <c r="I979" s="85"/>
    </row>
    <row r="980" ht="15.75" customHeight="1">
      <c r="A980" s="78">
        <v>976.0</v>
      </c>
      <c r="B980" s="146">
        <v>46038.0</v>
      </c>
      <c r="C980" s="164">
        <v>107.0</v>
      </c>
      <c r="D980" s="164">
        <v>55.0</v>
      </c>
      <c r="E980" s="164" t="s">
        <v>323</v>
      </c>
      <c r="F980" s="164" t="s">
        <v>324</v>
      </c>
      <c r="G980" s="146">
        <v>46039.0</v>
      </c>
      <c r="H980" s="159" t="s">
        <v>69</v>
      </c>
      <c r="I980" s="85"/>
    </row>
    <row r="981" ht="15.75" customHeight="1">
      <c r="A981" s="78">
        <v>977.0</v>
      </c>
      <c r="B981" s="146">
        <v>46038.0</v>
      </c>
      <c r="C981" s="164">
        <v>109.0</v>
      </c>
      <c r="D981" s="164">
        <v>21.0</v>
      </c>
      <c r="E981" s="164" t="s">
        <v>323</v>
      </c>
      <c r="F981" s="164" t="s">
        <v>324</v>
      </c>
      <c r="G981" s="146">
        <v>46039.0</v>
      </c>
      <c r="H981" s="159" t="s">
        <v>69</v>
      </c>
      <c r="I981" s="85"/>
    </row>
    <row r="982" ht="15.75" customHeight="1">
      <c r="A982" s="78">
        <v>978.0</v>
      </c>
      <c r="B982" s="146">
        <v>46038.0</v>
      </c>
      <c r="C982" s="164">
        <v>109.0</v>
      </c>
      <c r="D982" s="164">
        <v>39.0</v>
      </c>
      <c r="E982" s="164" t="s">
        <v>323</v>
      </c>
      <c r="F982" s="164" t="s">
        <v>324</v>
      </c>
      <c r="G982" s="146">
        <v>46039.0</v>
      </c>
      <c r="H982" s="159" t="s">
        <v>69</v>
      </c>
      <c r="I982" s="85"/>
    </row>
    <row r="983" ht="15.75" customHeight="1">
      <c r="A983" s="78">
        <v>979.0</v>
      </c>
      <c r="B983" s="146">
        <v>46038.0</v>
      </c>
      <c r="C983" s="164">
        <v>122.0</v>
      </c>
      <c r="D983" s="164">
        <v>83.0</v>
      </c>
      <c r="E983" s="164" t="s">
        <v>323</v>
      </c>
      <c r="F983" s="164" t="s">
        <v>324</v>
      </c>
      <c r="G983" s="146">
        <v>46039.0</v>
      </c>
      <c r="H983" s="159" t="s">
        <v>69</v>
      </c>
      <c r="I983" s="85"/>
    </row>
    <row r="984" ht="15.75" customHeight="1">
      <c r="A984" s="78">
        <v>980.0</v>
      </c>
      <c r="B984" s="146">
        <v>46038.0</v>
      </c>
      <c r="C984" s="164">
        <v>128.0</v>
      </c>
      <c r="D984" s="164">
        <v>99.0</v>
      </c>
      <c r="E984" s="164" t="s">
        <v>323</v>
      </c>
      <c r="F984" s="164" t="s">
        <v>324</v>
      </c>
      <c r="G984" s="146">
        <v>46039.0</v>
      </c>
      <c r="H984" s="159" t="s">
        <v>69</v>
      </c>
      <c r="I984" s="85"/>
    </row>
    <row r="985" ht="15.75" customHeight="1">
      <c r="A985" s="78">
        <v>981.0</v>
      </c>
      <c r="B985" s="146">
        <v>46039.0</v>
      </c>
      <c r="C985" s="164">
        <v>14.0</v>
      </c>
      <c r="D985" s="164">
        <v>103.0</v>
      </c>
      <c r="E985" s="164" t="s">
        <v>335</v>
      </c>
      <c r="F985" s="164" t="s">
        <v>314</v>
      </c>
      <c r="G985" s="146">
        <v>46040.0</v>
      </c>
      <c r="H985" s="159" t="s">
        <v>69</v>
      </c>
      <c r="I985" s="164" t="s">
        <v>333</v>
      </c>
    </row>
    <row r="986" ht="15.75" customHeight="1">
      <c r="A986" s="78">
        <v>982.0</v>
      </c>
      <c r="B986" s="146">
        <v>46039.0</v>
      </c>
      <c r="C986" s="164">
        <v>42.0</v>
      </c>
      <c r="D986" s="164">
        <v>107.0</v>
      </c>
      <c r="E986" s="164" t="s">
        <v>323</v>
      </c>
      <c r="F986" s="164" t="s">
        <v>324</v>
      </c>
      <c r="G986" s="146">
        <v>46039.0</v>
      </c>
      <c r="H986" s="159" t="s">
        <v>69</v>
      </c>
      <c r="I986" s="85"/>
    </row>
    <row r="987" ht="15.75" customHeight="1">
      <c r="A987" s="78">
        <v>983.0</v>
      </c>
      <c r="B987" s="146">
        <v>46039.0</v>
      </c>
      <c r="C987" s="164">
        <v>50.0</v>
      </c>
      <c r="D987" s="164">
        <v>36.0</v>
      </c>
      <c r="E987" s="164" t="s">
        <v>323</v>
      </c>
      <c r="F987" s="164" t="s">
        <v>324</v>
      </c>
      <c r="G987" s="146">
        <v>46039.0</v>
      </c>
      <c r="H987" s="159" t="s">
        <v>69</v>
      </c>
      <c r="I987" s="85"/>
    </row>
    <row r="988" ht="15.75" customHeight="1">
      <c r="A988" s="78">
        <v>984.0</v>
      </c>
      <c r="B988" s="146">
        <v>46039.0</v>
      </c>
      <c r="C988" s="164">
        <v>55.0</v>
      </c>
      <c r="D988" s="164">
        <v>96.0</v>
      </c>
      <c r="E988" s="164" t="s">
        <v>323</v>
      </c>
      <c r="F988" s="164" t="s">
        <v>324</v>
      </c>
      <c r="G988" s="146">
        <v>46039.0</v>
      </c>
      <c r="H988" s="159" t="s">
        <v>69</v>
      </c>
      <c r="I988" s="85"/>
    </row>
    <row r="989" ht="15.75" customHeight="1">
      <c r="A989" s="78">
        <v>985.0</v>
      </c>
      <c r="B989" s="146">
        <v>46039.0</v>
      </c>
      <c r="C989" s="164">
        <v>57.0</v>
      </c>
      <c r="D989" s="164">
        <v>63.0</v>
      </c>
      <c r="E989" s="164" t="s">
        <v>323</v>
      </c>
      <c r="F989" s="164" t="s">
        <v>324</v>
      </c>
      <c r="G989" s="146">
        <v>46039.0</v>
      </c>
      <c r="H989" s="159" t="s">
        <v>69</v>
      </c>
      <c r="I989" s="85"/>
    </row>
    <row r="990" ht="15.75" customHeight="1">
      <c r="A990" s="78">
        <v>986.0</v>
      </c>
      <c r="B990" s="146">
        <v>46039.0</v>
      </c>
      <c r="C990" s="164">
        <v>60.0</v>
      </c>
      <c r="D990" s="164">
        <v>91.0</v>
      </c>
      <c r="E990" s="164" t="s">
        <v>323</v>
      </c>
      <c r="F990" s="164" t="s">
        <v>324</v>
      </c>
      <c r="G990" s="146">
        <v>46039.0</v>
      </c>
      <c r="H990" s="159" t="s">
        <v>69</v>
      </c>
      <c r="I990" s="85"/>
    </row>
    <row r="991" ht="15.75" customHeight="1">
      <c r="A991" s="78">
        <v>987.0</v>
      </c>
      <c r="B991" s="146">
        <v>46039.0</v>
      </c>
      <c r="C991" s="164">
        <v>67.0</v>
      </c>
      <c r="D991" s="164">
        <v>27.0</v>
      </c>
      <c r="E991" s="164" t="s">
        <v>323</v>
      </c>
      <c r="F991" s="164" t="s">
        <v>324</v>
      </c>
      <c r="G991" s="146">
        <v>46039.0</v>
      </c>
      <c r="H991" s="159" t="s">
        <v>69</v>
      </c>
      <c r="I991" s="85"/>
    </row>
    <row r="992" ht="15.75" customHeight="1">
      <c r="A992" s="78">
        <v>988.0</v>
      </c>
      <c r="B992" s="146">
        <v>46039.0</v>
      </c>
      <c r="C992" s="164">
        <v>74.0</v>
      </c>
      <c r="D992" s="164">
        <v>112.0</v>
      </c>
      <c r="E992" s="164" t="s">
        <v>335</v>
      </c>
      <c r="F992" s="164" t="s">
        <v>324</v>
      </c>
      <c r="G992" s="146">
        <v>46039.0</v>
      </c>
      <c r="H992" s="159" t="s">
        <v>69</v>
      </c>
      <c r="I992" s="85"/>
    </row>
    <row r="993" ht="15.75" customHeight="1">
      <c r="A993" s="78">
        <v>989.0</v>
      </c>
      <c r="B993" s="146">
        <v>46039.0</v>
      </c>
      <c r="C993" s="164">
        <v>89.0</v>
      </c>
      <c r="D993" s="164">
        <v>119.0</v>
      </c>
      <c r="E993" s="164" t="s">
        <v>323</v>
      </c>
      <c r="F993" s="164" t="s">
        <v>324</v>
      </c>
      <c r="G993" s="146">
        <v>46039.0</v>
      </c>
      <c r="H993" s="159" t="s">
        <v>69</v>
      </c>
      <c r="I993" s="85"/>
    </row>
    <row r="994" ht="15.75" customHeight="1">
      <c r="A994" s="78">
        <v>990.0</v>
      </c>
      <c r="B994" s="146">
        <v>46039.0</v>
      </c>
      <c r="C994" s="164">
        <v>90.0</v>
      </c>
      <c r="D994" s="164">
        <v>117.0</v>
      </c>
      <c r="E994" s="164" t="s">
        <v>323</v>
      </c>
      <c r="F994" s="164" t="s">
        <v>324</v>
      </c>
      <c r="G994" s="146">
        <v>46039.0</v>
      </c>
      <c r="H994" s="159" t="s">
        <v>69</v>
      </c>
      <c r="I994" s="85"/>
    </row>
    <row r="995" ht="15.75" customHeight="1">
      <c r="A995" s="78">
        <v>991.0</v>
      </c>
      <c r="B995" s="146">
        <v>46039.0</v>
      </c>
      <c r="C995" s="164">
        <v>101.0</v>
      </c>
      <c r="D995" s="164">
        <v>83.0</v>
      </c>
      <c r="E995" s="164" t="s">
        <v>308</v>
      </c>
      <c r="F995" s="164" t="s">
        <v>324</v>
      </c>
      <c r="G995" s="146">
        <v>46039.0</v>
      </c>
      <c r="H995" s="159" t="s">
        <v>69</v>
      </c>
      <c r="I995" s="85"/>
    </row>
    <row r="996" ht="15.75" customHeight="1">
      <c r="A996" s="78">
        <v>992.0</v>
      </c>
      <c r="B996" s="146">
        <v>46039.0</v>
      </c>
      <c r="C996" s="164">
        <v>106.0</v>
      </c>
      <c r="D996" s="164">
        <v>30.0</v>
      </c>
      <c r="E996" s="164" t="s">
        <v>323</v>
      </c>
      <c r="F996" s="164" t="s">
        <v>324</v>
      </c>
      <c r="G996" s="146">
        <v>46039.0</v>
      </c>
      <c r="H996" s="159" t="s">
        <v>69</v>
      </c>
      <c r="I996" s="85"/>
    </row>
    <row r="997" ht="15.75" customHeight="1">
      <c r="A997" s="78">
        <v>993.0</v>
      </c>
      <c r="B997" s="146">
        <v>46039.0</v>
      </c>
      <c r="C997" s="164">
        <v>107.0</v>
      </c>
      <c r="D997" s="164">
        <v>55.0</v>
      </c>
      <c r="E997" s="164" t="s">
        <v>323</v>
      </c>
      <c r="F997" s="164" t="s">
        <v>324</v>
      </c>
      <c r="G997" s="146">
        <v>46039.0</v>
      </c>
      <c r="H997" s="159" t="s">
        <v>69</v>
      </c>
      <c r="I997" s="85"/>
    </row>
    <row r="998" ht="15.75" customHeight="1">
      <c r="A998" s="78">
        <v>994.0</v>
      </c>
      <c r="B998" s="146">
        <v>46039.0</v>
      </c>
      <c r="C998" s="164">
        <v>24.0</v>
      </c>
      <c r="D998" s="164">
        <v>35.0</v>
      </c>
      <c r="E998" s="164" t="s">
        <v>335</v>
      </c>
      <c r="F998" s="164" t="s">
        <v>314</v>
      </c>
      <c r="G998" s="146">
        <v>46040.0</v>
      </c>
      <c r="H998" s="159" t="s">
        <v>69</v>
      </c>
      <c r="I998" s="164" t="s">
        <v>333</v>
      </c>
    </row>
    <row r="999" ht="15.75" customHeight="1">
      <c r="A999" s="78">
        <v>995.0</v>
      </c>
      <c r="B999" s="146">
        <v>46040.0</v>
      </c>
      <c r="C999" s="164">
        <v>60.0</v>
      </c>
      <c r="D999" s="164">
        <v>91.0</v>
      </c>
      <c r="E999" s="164" t="s">
        <v>323</v>
      </c>
      <c r="F999" s="164" t="s">
        <v>324</v>
      </c>
      <c r="G999" s="146">
        <v>46040.0</v>
      </c>
      <c r="H999" s="159" t="s">
        <v>69</v>
      </c>
      <c r="I999" s="85"/>
    </row>
    <row r="1000" ht="15.75" customHeight="1">
      <c r="A1000" s="78">
        <v>996.0</v>
      </c>
      <c r="B1000" s="146">
        <v>46040.0</v>
      </c>
      <c r="C1000" s="164">
        <v>89.0</v>
      </c>
      <c r="D1000" s="164">
        <v>119.0</v>
      </c>
      <c r="E1000" s="164" t="s">
        <v>323</v>
      </c>
      <c r="F1000" s="164" t="s">
        <v>324</v>
      </c>
      <c r="G1000" s="146">
        <v>46040.0</v>
      </c>
      <c r="H1000" s="159" t="s">
        <v>69</v>
      </c>
      <c r="I1000" s="85"/>
    </row>
    <row r="1001" ht="15.75" customHeight="1">
      <c r="A1001" s="78">
        <v>997.0</v>
      </c>
      <c r="B1001" s="146">
        <v>46040.0</v>
      </c>
      <c r="C1001" s="164">
        <v>100.0</v>
      </c>
      <c r="D1001" s="164">
        <v>123.0</v>
      </c>
      <c r="E1001" s="164" t="s">
        <v>323</v>
      </c>
      <c r="F1001" s="164" t="s">
        <v>324</v>
      </c>
      <c r="G1001" s="146">
        <v>46040.0</v>
      </c>
      <c r="H1001" s="159" t="s">
        <v>69</v>
      </c>
      <c r="I1001" s="85"/>
    </row>
    <row r="1002" ht="15.75" customHeight="1">
      <c r="A1002" s="78">
        <v>998.0</v>
      </c>
      <c r="B1002" s="146">
        <v>46040.0</v>
      </c>
      <c r="C1002" s="164">
        <v>104.0</v>
      </c>
      <c r="D1002" s="164">
        <v>55.0</v>
      </c>
      <c r="E1002" s="164" t="s">
        <v>323</v>
      </c>
      <c r="F1002" s="164" t="s">
        <v>324</v>
      </c>
      <c r="G1002" s="146">
        <v>46040.0</v>
      </c>
      <c r="H1002" s="159" t="s">
        <v>69</v>
      </c>
      <c r="I1002" s="85"/>
    </row>
    <row r="1003" ht="15.75" customHeight="1">
      <c r="A1003" s="78">
        <v>999.0</v>
      </c>
      <c r="B1003" s="146">
        <v>46040.0</v>
      </c>
      <c r="C1003" s="164">
        <v>3.0</v>
      </c>
      <c r="D1003" s="164">
        <v>103.0</v>
      </c>
      <c r="E1003" s="164" t="s">
        <v>322</v>
      </c>
      <c r="F1003" s="164" t="s">
        <v>314</v>
      </c>
      <c r="G1003" s="146">
        <v>46041.0</v>
      </c>
      <c r="H1003" s="159" t="s">
        <v>69</v>
      </c>
      <c r="I1003" s="164" t="s">
        <v>389</v>
      </c>
    </row>
    <row r="1004" ht="15.75" customHeight="1">
      <c r="A1004" s="78">
        <v>1000.0</v>
      </c>
      <c r="B1004" s="146">
        <v>46041.0</v>
      </c>
      <c r="C1004" s="164">
        <v>66.0</v>
      </c>
      <c r="D1004" s="164">
        <v>132.0</v>
      </c>
      <c r="E1004" s="164" t="s">
        <v>323</v>
      </c>
      <c r="F1004" s="164" t="s">
        <v>324</v>
      </c>
      <c r="G1004" s="146">
        <v>46041.0</v>
      </c>
      <c r="H1004" s="159" t="s">
        <v>69</v>
      </c>
      <c r="I1004" s="21"/>
    </row>
    <row r="1005" ht="15.75" customHeight="1">
      <c r="A1005" s="78">
        <v>1001.0</v>
      </c>
      <c r="B1005" s="146">
        <v>46041.0</v>
      </c>
      <c r="C1005" s="164">
        <v>75.0</v>
      </c>
      <c r="D1005" s="164">
        <v>76.0</v>
      </c>
      <c r="E1005" s="164" t="s">
        <v>323</v>
      </c>
      <c r="F1005" s="164" t="s">
        <v>324</v>
      </c>
      <c r="G1005" s="146">
        <v>46041.0</v>
      </c>
      <c r="H1005" s="159" t="s">
        <v>69</v>
      </c>
      <c r="I1005" s="21"/>
    </row>
    <row r="1006" ht="15.75" customHeight="1">
      <c r="A1006" s="78">
        <v>1002.0</v>
      </c>
      <c r="B1006" s="146">
        <v>46041.0</v>
      </c>
      <c r="C1006" s="164">
        <v>131.0</v>
      </c>
      <c r="D1006" s="164">
        <v>68.0</v>
      </c>
      <c r="E1006" s="164" t="s">
        <v>323</v>
      </c>
      <c r="F1006" s="164" t="s">
        <v>324</v>
      </c>
      <c r="G1006" s="146">
        <v>46041.0</v>
      </c>
      <c r="H1006" s="159" t="s">
        <v>69</v>
      </c>
      <c r="I1006" s="85"/>
    </row>
    <row r="1007" ht="15.75" customHeight="1">
      <c r="A1007" s="78">
        <v>1003.0</v>
      </c>
      <c r="B1007" s="146">
        <v>46041.0</v>
      </c>
      <c r="C1007" s="164">
        <v>77.0</v>
      </c>
      <c r="D1007" s="164">
        <v>3.0</v>
      </c>
      <c r="E1007" s="164" t="s">
        <v>310</v>
      </c>
      <c r="F1007" s="164" t="s">
        <v>314</v>
      </c>
      <c r="G1007" s="146">
        <v>46042.0</v>
      </c>
      <c r="H1007" s="159" t="s">
        <v>69</v>
      </c>
      <c r="I1007" s="164" t="s">
        <v>333</v>
      </c>
    </row>
    <row r="1008" ht="15.75" customHeight="1">
      <c r="A1008" s="78">
        <v>1004.0</v>
      </c>
      <c r="B1008" s="146">
        <v>46042.0</v>
      </c>
      <c r="C1008" s="164">
        <v>63.0</v>
      </c>
      <c r="D1008" s="164">
        <v>38.0</v>
      </c>
      <c r="E1008" s="164" t="s">
        <v>323</v>
      </c>
      <c r="F1008" s="164" t="s">
        <v>324</v>
      </c>
      <c r="G1008" s="146">
        <v>46042.0</v>
      </c>
      <c r="H1008" s="159" t="s">
        <v>69</v>
      </c>
      <c r="I1008" s="164"/>
    </row>
    <row r="1009" ht="15.75" customHeight="1">
      <c r="A1009" s="78">
        <v>1005.0</v>
      </c>
      <c r="B1009" s="146">
        <v>46042.0</v>
      </c>
      <c r="C1009" s="164">
        <v>70.0</v>
      </c>
      <c r="D1009" s="164">
        <v>69.0</v>
      </c>
      <c r="E1009" s="164" t="s">
        <v>323</v>
      </c>
      <c r="F1009" s="164" t="s">
        <v>324</v>
      </c>
      <c r="G1009" s="146">
        <v>46042.0</v>
      </c>
      <c r="H1009" s="159" t="s">
        <v>69</v>
      </c>
      <c r="I1009" s="164"/>
    </row>
    <row r="1010" ht="15.75" customHeight="1">
      <c r="A1010" s="78">
        <v>1006.0</v>
      </c>
      <c r="B1010" s="146">
        <v>46042.0</v>
      </c>
      <c r="C1010" s="164">
        <v>74.0</v>
      </c>
      <c r="D1010" s="164">
        <v>10.0</v>
      </c>
      <c r="E1010" s="164" t="s">
        <v>323</v>
      </c>
      <c r="F1010" s="164" t="s">
        <v>324</v>
      </c>
      <c r="G1010" s="146">
        <v>46042.0</v>
      </c>
      <c r="H1010" s="159" t="s">
        <v>69</v>
      </c>
      <c r="I1010" s="164"/>
    </row>
    <row r="1011" ht="15.75" customHeight="1">
      <c r="A1011" s="78">
        <v>1007.0</v>
      </c>
      <c r="B1011" s="146">
        <v>46042.0</v>
      </c>
      <c r="C1011" s="164">
        <v>74.0</v>
      </c>
      <c r="D1011" s="164">
        <v>39.0</v>
      </c>
      <c r="E1011" s="164" t="s">
        <v>323</v>
      </c>
      <c r="F1011" s="164" t="s">
        <v>324</v>
      </c>
      <c r="G1011" s="146">
        <v>46042.0</v>
      </c>
      <c r="H1011" s="159" t="s">
        <v>69</v>
      </c>
      <c r="I1011" s="164"/>
    </row>
    <row r="1012" ht="15.75" customHeight="1">
      <c r="A1012" s="78">
        <v>1008.0</v>
      </c>
      <c r="B1012" s="146">
        <v>46042.0</v>
      </c>
      <c r="C1012" s="164">
        <v>74.0</v>
      </c>
      <c r="D1012" s="164">
        <v>52.0</v>
      </c>
      <c r="E1012" s="164" t="s">
        <v>323</v>
      </c>
      <c r="F1012" s="164" t="s">
        <v>324</v>
      </c>
      <c r="G1012" s="146">
        <v>46042.0</v>
      </c>
      <c r="H1012" s="159" t="s">
        <v>69</v>
      </c>
      <c r="I1012" s="164"/>
    </row>
    <row r="1013" ht="15.75" customHeight="1">
      <c r="A1013" s="78">
        <v>1009.0</v>
      </c>
      <c r="B1013" s="146">
        <v>46042.0</v>
      </c>
      <c r="C1013" s="164">
        <v>80.0</v>
      </c>
      <c r="D1013" s="164">
        <v>80.0</v>
      </c>
      <c r="E1013" s="164" t="s">
        <v>337</v>
      </c>
      <c r="F1013" s="164" t="s">
        <v>324</v>
      </c>
      <c r="G1013" s="146">
        <v>46042.0</v>
      </c>
      <c r="H1013" s="159" t="s">
        <v>69</v>
      </c>
      <c r="I1013" s="164"/>
    </row>
    <row r="1014" ht="15.75" customHeight="1">
      <c r="A1014" s="78">
        <v>1010.0</v>
      </c>
      <c r="B1014" s="146">
        <v>46042.0</v>
      </c>
      <c r="C1014" s="164">
        <v>87.0</v>
      </c>
      <c r="D1014" s="164">
        <v>74.0</v>
      </c>
      <c r="E1014" s="164" t="s">
        <v>323</v>
      </c>
      <c r="F1014" s="164" t="s">
        <v>324</v>
      </c>
      <c r="G1014" s="146">
        <v>46042.0</v>
      </c>
      <c r="H1014" s="159" t="s">
        <v>69</v>
      </c>
      <c r="I1014" s="164"/>
    </row>
    <row r="1015" ht="15.75" customHeight="1">
      <c r="A1015" s="78">
        <v>1011.0</v>
      </c>
      <c r="B1015" s="146">
        <v>46042.0</v>
      </c>
      <c r="C1015" s="164">
        <v>87.0</v>
      </c>
      <c r="D1015" s="164">
        <v>93.0</v>
      </c>
      <c r="E1015" s="164" t="s">
        <v>323</v>
      </c>
      <c r="F1015" s="164" t="s">
        <v>324</v>
      </c>
      <c r="G1015" s="146">
        <v>46042.0</v>
      </c>
      <c r="H1015" s="159" t="s">
        <v>69</v>
      </c>
      <c r="I1015" s="164"/>
    </row>
    <row r="1016" ht="15.75" customHeight="1">
      <c r="A1016" s="78">
        <v>1012.0</v>
      </c>
      <c r="B1016" s="146">
        <v>46042.0</v>
      </c>
      <c r="C1016" s="164">
        <v>99.0</v>
      </c>
      <c r="D1016" s="164">
        <v>115.0</v>
      </c>
      <c r="E1016" s="164" t="s">
        <v>323</v>
      </c>
      <c r="F1016" s="164" t="s">
        <v>324</v>
      </c>
      <c r="G1016" s="146">
        <v>46042.0</v>
      </c>
      <c r="H1016" s="159" t="s">
        <v>69</v>
      </c>
      <c r="I1016" s="164"/>
    </row>
    <row r="1017" ht="15.75" customHeight="1">
      <c r="A1017" s="78">
        <v>1013.0</v>
      </c>
      <c r="B1017" s="146">
        <v>46042.0</v>
      </c>
      <c r="C1017" s="164">
        <v>99.0</v>
      </c>
      <c r="D1017" s="164">
        <v>136.0</v>
      </c>
      <c r="E1017" s="164" t="s">
        <v>323</v>
      </c>
      <c r="F1017" s="164" t="s">
        <v>324</v>
      </c>
      <c r="G1017" s="146">
        <v>46042.0</v>
      </c>
      <c r="H1017" s="159" t="s">
        <v>69</v>
      </c>
      <c r="I1017" s="164"/>
    </row>
    <row r="1018" ht="15.75" customHeight="1">
      <c r="A1018" s="78">
        <v>1014.0</v>
      </c>
      <c r="B1018" s="146">
        <v>46042.0</v>
      </c>
      <c r="C1018" s="164">
        <v>112.0</v>
      </c>
      <c r="D1018" s="164">
        <v>93.0</v>
      </c>
      <c r="E1018" s="164" t="s">
        <v>323</v>
      </c>
      <c r="F1018" s="164" t="s">
        <v>324</v>
      </c>
      <c r="G1018" s="146">
        <v>46042.0</v>
      </c>
      <c r="H1018" s="159" t="s">
        <v>69</v>
      </c>
      <c r="I1018" s="164"/>
    </row>
    <row r="1019" ht="15.75" customHeight="1">
      <c r="A1019" s="78">
        <v>1015.0</v>
      </c>
      <c r="B1019" s="146">
        <v>46042.0</v>
      </c>
      <c r="C1019" s="164">
        <v>116.0</v>
      </c>
      <c r="D1019" s="164">
        <v>104.0</v>
      </c>
      <c r="E1019" s="164" t="s">
        <v>323</v>
      </c>
      <c r="F1019" s="164" t="s">
        <v>324</v>
      </c>
      <c r="G1019" s="146">
        <v>46042.0</v>
      </c>
      <c r="H1019" s="159" t="s">
        <v>69</v>
      </c>
      <c r="I1019" s="164"/>
    </row>
    <row r="1020" ht="15.75" customHeight="1">
      <c r="A1020" s="78">
        <v>1016.0</v>
      </c>
      <c r="B1020" s="146">
        <v>46043.0</v>
      </c>
      <c r="C1020" s="164">
        <v>54.0</v>
      </c>
      <c r="D1020" s="164">
        <v>74.0</v>
      </c>
      <c r="E1020" s="164" t="s">
        <v>323</v>
      </c>
      <c r="F1020" s="164" t="s">
        <v>324</v>
      </c>
      <c r="G1020" s="146">
        <v>46043.0</v>
      </c>
      <c r="H1020" s="159" t="s">
        <v>69</v>
      </c>
      <c r="I1020" s="164"/>
    </row>
    <row r="1021" ht="15.75" customHeight="1">
      <c r="A1021" s="78">
        <v>1017.0</v>
      </c>
      <c r="B1021" s="146">
        <v>46043.0</v>
      </c>
      <c r="C1021" s="164">
        <v>114.0</v>
      </c>
      <c r="D1021" s="164">
        <v>138.0</v>
      </c>
      <c r="E1021" s="164" t="s">
        <v>323</v>
      </c>
      <c r="F1021" s="164" t="s">
        <v>324</v>
      </c>
      <c r="G1021" s="146">
        <v>46043.0</v>
      </c>
      <c r="H1021" s="159" t="s">
        <v>69</v>
      </c>
      <c r="I1021" s="164"/>
    </row>
    <row r="1022" ht="15.75" customHeight="1">
      <c r="A1022" s="78">
        <v>1018.0</v>
      </c>
      <c r="B1022" s="146">
        <v>46043.0</v>
      </c>
      <c r="C1022" s="164">
        <v>124.0</v>
      </c>
      <c r="D1022" s="164">
        <v>66.0</v>
      </c>
      <c r="E1022" s="164" t="s">
        <v>323</v>
      </c>
      <c r="F1022" s="164" t="s">
        <v>324</v>
      </c>
      <c r="G1022" s="146">
        <v>46043.0</v>
      </c>
      <c r="H1022" s="159" t="s">
        <v>69</v>
      </c>
      <c r="I1022" s="164"/>
    </row>
    <row r="1023" ht="15.75" customHeight="1">
      <c r="A1023" s="78">
        <v>1019.0</v>
      </c>
      <c r="B1023" s="146">
        <v>46043.0</v>
      </c>
      <c r="C1023" s="164">
        <v>19.0</v>
      </c>
      <c r="D1023" s="164">
        <v>32.0</v>
      </c>
      <c r="E1023" s="164" t="s">
        <v>310</v>
      </c>
      <c r="F1023" s="164" t="s">
        <v>324</v>
      </c>
      <c r="G1023" s="146">
        <v>46043.0</v>
      </c>
      <c r="H1023" s="159" t="s">
        <v>69</v>
      </c>
      <c r="I1023" s="164"/>
    </row>
    <row r="1024" ht="15.75" customHeight="1">
      <c r="A1024" s="78">
        <v>1020.0</v>
      </c>
      <c r="B1024" s="146">
        <v>46043.0</v>
      </c>
      <c r="C1024" s="164">
        <v>80.0</v>
      </c>
      <c r="D1024" s="164">
        <v>29.0</v>
      </c>
      <c r="E1024" s="164" t="s">
        <v>323</v>
      </c>
      <c r="F1024" s="164" t="s">
        <v>324</v>
      </c>
      <c r="G1024" s="146">
        <v>46043.0</v>
      </c>
      <c r="H1024" s="159" t="s">
        <v>69</v>
      </c>
      <c r="I1024" s="164"/>
    </row>
    <row r="1025" ht="15.75" customHeight="1">
      <c r="A1025" s="78">
        <v>1021.0</v>
      </c>
      <c r="B1025" s="146">
        <v>46043.0</v>
      </c>
      <c r="C1025" s="164">
        <v>53.0</v>
      </c>
      <c r="D1025" s="164">
        <v>62.0</v>
      </c>
      <c r="E1025" s="164" t="s">
        <v>310</v>
      </c>
      <c r="F1025" s="164" t="s">
        <v>314</v>
      </c>
      <c r="G1025" s="167">
        <v>46044.0</v>
      </c>
      <c r="H1025" s="159" t="s">
        <v>69</v>
      </c>
      <c r="I1025" s="164" t="s">
        <v>333</v>
      </c>
    </row>
    <row r="1026" ht="15.75" customHeight="1">
      <c r="A1026" s="78">
        <v>1022.0</v>
      </c>
      <c r="B1026" s="167">
        <v>46044.0</v>
      </c>
      <c r="C1026" s="164">
        <v>66.0</v>
      </c>
      <c r="D1026" s="164">
        <v>132.0</v>
      </c>
      <c r="E1026" s="164" t="s">
        <v>323</v>
      </c>
      <c r="F1026" s="164" t="s">
        <v>324</v>
      </c>
      <c r="G1026" s="167">
        <v>46044.0</v>
      </c>
      <c r="H1026" s="159" t="s">
        <v>69</v>
      </c>
      <c r="I1026" s="164"/>
    </row>
    <row r="1027" ht="15.75" customHeight="1">
      <c r="A1027" s="78">
        <v>1023.0</v>
      </c>
      <c r="B1027" s="167">
        <v>46044.0</v>
      </c>
      <c r="C1027" s="164">
        <v>74.0</v>
      </c>
      <c r="D1027" s="164">
        <v>52.0</v>
      </c>
      <c r="E1027" s="164" t="s">
        <v>323</v>
      </c>
      <c r="F1027" s="164" t="s">
        <v>324</v>
      </c>
      <c r="G1027" s="167">
        <v>46044.0</v>
      </c>
      <c r="H1027" s="159" t="s">
        <v>69</v>
      </c>
      <c r="I1027" s="164"/>
    </row>
    <row r="1028" ht="15.75" customHeight="1">
      <c r="A1028" s="78">
        <v>1024.0</v>
      </c>
      <c r="B1028" s="167">
        <v>46044.0</v>
      </c>
      <c r="C1028" s="164">
        <v>74.0</v>
      </c>
      <c r="D1028" s="164">
        <v>55.0</v>
      </c>
      <c r="E1028" s="164" t="s">
        <v>323</v>
      </c>
      <c r="F1028" s="164" t="s">
        <v>324</v>
      </c>
      <c r="G1028" s="167">
        <v>46044.0</v>
      </c>
      <c r="H1028" s="159" t="s">
        <v>69</v>
      </c>
      <c r="I1028" s="164"/>
    </row>
    <row r="1029" ht="15.75" customHeight="1">
      <c r="A1029" s="78">
        <v>1025.0</v>
      </c>
      <c r="B1029" s="167">
        <v>46044.0</v>
      </c>
      <c r="C1029" s="164">
        <v>128.0</v>
      </c>
      <c r="D1029" s="164">
        <v>57.0</v>
      </c>
      <c r="E1029" s="164" t="s">
        <v>323</v>
      </c>
      <c r="F1029" s="164" t="s">
        <v>324</v>
      </c>
      <c r="G1029" s="167">
        <v>46044.0</v>
      </c>
      <c r="H1029" s="159" t="s">
        <v>69</v>
      </c>
      <c r="I1029" s="164"/>
    </row>
    <row r="1030" ht="15.75" customHeight="1">
      <c r="A1030" s="78">
        <v>1026.0</v>
      </c>
      <c r="B1030" s="167">
        <v>46044.0</v>
      </c>
      <c r="C1030" s="164">
        <v>131.0</v>
      </c>
      <c r="D1030" s="164">
        <v>4.0</v>
      </c>
      <c r="E1030" s="164" t="s">
        <v>323</v>
      </c>
      <c r="F1030" s="164" t="s">
        <v>324</v>
      </c>
      <c r="G1030" s="167">
        <v>46044.0</v>
      </c>
      <c r="H1030" s="159" t="s">
        <v>69</v>
      </c>
      <c r="I1030" s="164"/>
    </row>
    <row r="1031" ht="15.75" customHeight="1">
      <c r="A1031" s="78">
        <v>1027.0</v>
      </c>
      <c r="B1031" s="167">
        <v>46044.0</v>
      </c>
      <c r="C1031" s="164">
        <v>131.0</v>
      </c>
      <c r="D1031" s="164">
        <v>14.0</v>
      </c>
      <c r="E1031" s="164" t="s">
        <v>323</v>
      </c>
      <c r="F1031" s="164" t="s">
        <v>324</v>
      </c>
      <c r="G1031" s="167">
        <v>46044.0</v>
      </c>
      <c r="H1031" s="159" t="s">
        <v>69</v>
      </c>
      <c r="I1031" s="164"/>
    </row>
    <row r="1032" ht="15.75" customHeight="1">
      <c r="A1032" s="78">
        <v>1028.0</v>
      </c>
      <c r="B1032" s="167">
        <v>46045.0</v>
      </c>
      <c r="C1032" s="164">
        <v>67.0</v>
      </c>
      <c r="D1032" s="164">
        <v>28.0</v>
      </c>
      <c r="E1032" s="164" t="s">
        <v>337</v>
      </c>
      <c r="F1032" s="164" t="s">
        <v>324</v>
      </c>
      <c r="G1032" s="167">
        <v>46045.0</v>
      </c>
      <c r="H1032" s="159" t="s">
        <v>69</v>
      </c>
      <c r="I1032" s="164"/>
    </row>
    <row r="1033" ht="15.75" customHeight="1">
      <c r="A1033" s="78">
        <v>1029.0</v>
      </c>
      <c r="B1033" s="167">
        <v>46045.0</v>
      </c>
      <c r="C1033" s="164">
        <v>99.0</v>
      </c>
      <c r="D1033" s="164">
        <v>115.0</v>
      </c>
      <c r="E1033" s="164" t="s">
        <v>323</v>
      </c>
      <c r="F1033" s="164" t="s">
        <v>324</v>
      </c>
      <c r="G1033" s="167">
        <v>46045.0</v>
      </c>
      <c r="H1033" s="159" t="s">
        <v>69</v>
      </c>
      <c r="I1033" s="164"/>
    </row>
    <row r="1034" ht="15.75" customHeight="1">
      <c r="A1034" s="78">
        <v>1030.0</v>
      </c>
      <c r="B1034" s="167">
        <v>46045.0</v>
      </c>
      <c r="C1034" s="164">
        <v>99.0</v>
      </c>
      <c r="D1034" s="164">
        <v>136.0</v>
      </c>
      <c r="E1034" s="164" t="s">
        <v>323</v>
      </c>
      <c r="F1034" s="164" t="s">
        <v>324</v>
      </c>
      <c r="G1034" s="167">
        <v>46045.0</v>
      </c>
      <c r="H1034" s="159" t="s">
        <v>69</v>
      </c>
      <c r="I1034" s="164"/>
    </row>
    <row r="1035" ht="15.75" customHeight="1">
      <c r="A1035" s="78">
        <v>1031.0</v>
      </c>
      <c r="B1035" s="167">
        <v>46045.0</v>
      </c>
      <c r="C1035" s="164">
        <v>4.0</v>
      </c>
      <c r="D1035" s="164">
        <v>35.0</v>
      </c>
      <c r="E1035" s="164" t="s">
        <v>337</v>
      </c>
      <c r="F1035" s="164" t="s">
        <v>324</v>
      </c>
      <c r="G1035" s="167">
        <v>46045.0</v>
      </c>
      <c r="H1035" s="159" t="s">
        <v>69</v>
      </c>
      <c r="I1035" s="164"/>
    </row>
    <row r="1036" ht="15.75" customHeight="1">
      <c r="A1036" s="78">
        <v>1032.0</v>
      </c>
      <c r="B1036" s="167">
        <v>46045.0</v>
      </c>
      <c r="C1036" s="164">
        <v>67.0</v>
      </c>
      <c r="D1036" s="164">
        <v>28.0</v>
      </c>
      <c r="E1036" s="164" t="s">
        <v>322</v>
      </c>
      <c r="F1036" s="164" t="s">
        <v>314</v>
      </c>
      <c r="G1036" s="167">
        <v>46047.0</v>
      </c>
      <c r="H1036" s="159" t="s">
        <v>69</v>
      </c>
      <c r="I1036" s="164" t="s">
        <v>333</v>
      </c>
    </row>
    <row r="1037" ht="15.75" customHeight="1">
      <c r="A1037" s="78">
        <v>1033.0</v>
      </c>
      <c r="B1037" s="167">
        <v>46047.0</v>
      </c>
      <c r="C1037" s="164">
        <v>28.0</v>
      </c>
      <c r="D1037" s="164">
        <v>103.0</v>
      </c>
      <c r="E1037" s="164" t="s">
        <v>323</v>
      </c>
      <c r="F1037" s="164" t="s">
        <v>324</v>
      </c>
      <c r="G1037" s="167">
        <v>46047.0</v>
      </c>
      <c r="H1037" s="159" t="s">
        <v>69</v>
      </c>
      <c r="I1037" s="164"/>
    </row>
    <row r="1038" ht="15.75" customHeight="1">
      <c r="A1038" s="78">
        <v>1034.0</v>
      </c>
      <c r="B1038" s="167">
        <v>46047.0</v>
      </c>
      <c r="C1038" s="164">
        <v>42.0</v>
      </c>
      <c r="D1038" s="164">
        <v>31.0</v>
      </c>
      <c r="E1038" s="164" t="s">
        <v>323</v>
      </c>
      <c r="F1038" s="164" t="s">
        <v>324</v>
      </c>
      <c r="G1038" s="167">
        <v>46047.0</v>
      </c>
      <c r="H1038" s="159" t="s">
        <v>69</v>
      </c>
      <c r="I1038" s="164"/>
    </row>
    <row r="1039" ht="15.75" customHeight="1">
      <c r="A1039" s="78">
        <v>1035.0</v>
      </c>
      <c r="B1039" s="167">
        <v>46047.0</v>
      </c>
      <c r="C1039" s="164">
        <v>70.0</v>
      </c>
      <c r="D1039" s="164">
        <v>12.0</v>
      </c>
      <c r="E1039" s="164" t="s">
        <v>323</v>
      </c>
      <c r="F1039" s="164" t="s">
        <v>324</v>
      </c>
      <c r="G1039" s="167">
        <v>46047.0</v>
      </c>
      <c r="H1039" s="159" t="s">
        <v>69</v>
      </c>
      <c r="I1039" s="164"/>
    </row>
    <row r="1040" ht="15.75" customHeight="1">
      <c r="A1040" s="78">
        <v>1036.0</v>
      </c>
      <c r="B1040" s="167">
        <v>46047.0</v>
      </c>
      <c r="C1040" s="164">
        <v>70.0</v>
      </c>
      <c r="D1040" s="164">
        <v>19.0</v>
      </c>
      <c r="E1040" s="164" t="s">
        <v>323</v>
      </c>
      <c r="F1040" s="164" t="s">
        <v>324</v>
      </c>
      <c r="G1040" s="167">
        <v>46047.0</v>
      </c>
      <c r="H1040" s="159" t="s">
        <v>69</v>
      </c>
      <c r="I1040" s="164"/>
    </row>
    <row r="1041" ht="15.75" customHeight="1">
      <c r="A1041" s="78">
        <v>1037.0</v>
      </c>
      <c r="B1041" s="167">
        <v>46047.0</v>
      </c>
      <c r="C1041" s="164">
        <v>70.0</v>
      </c>
      <c r="D1041" s="164">
        <v>43.0</v>
      </c>
      <c r="E1041" s="164" t="s">
        <v>323</v>
      </c>
      <c r="F1041" s="164" t="s">
        <v>324</v>
      </c>
      <c r="G1041" s="167">
        <v>46047.0</v>
      </c>
      <c r="H1041" s="159" t="s">
        <v>69</v>
      </c>
      <c r="I1041" s="164"/>
    </row>
    <row r="1042" ht="15.75" customHeight="1">
      <c r="A1042" s="78">
        <v>1038.0</v>
      </c>
      <c r="B1042" s="167">
        <v>46047.0</v>
      </c>
      <c r="C1042" s="164">
        <v>70.0</v>
      </c>
      <c r="D1042" s="164">
        <v>53.0</v>
      </c>
      <c r="E1042" s="164" t="s">
        <v>323</v>
      </c>
      <c r="F1042" s="164" t="s">
        <v>324</v>
      </c>
      <c r="G1042" s="167">
        <v>46047.0</v>
      </c>
      <c r="H1042" s="159" t="s">
        <v>69</v>
      </c>
      <c r="I1042" s="164"/>
    </row>
    <row r="1043" ht="15.75" customHeight="1">
      <c r="A1043" s="78">
        <v>1039.0</v>
      </c>
      <c r="B1043" s="167">
        <v>46047.0</v>
      </c>
      <c r="C1043" s="164">
        <v>123.0</v>
      </c>
      <c r="D1043" s="164">
        <v>135.0</v>
      </c>
      <c r="E1043" s="164" t="s">
        <v>323</v>
      </c>
      <c r="F1043" s="164" t="s">
        <v>324</v>
      </c>
      <c r="G1043" s="167">
        <v>46047.0</v>
      </c>
      <c r="H1043" s="159" t="s">
        <v>69</v>
      </c>
      <c r="I1043" s="164"/>
    </row>
    <row r="1044" ht="15.75" customHeight="1">
      <c r="A1044" s="78">
        <v>1040.0</v>
      </c>
      <c r="B1044" s="167">
        <v>46048.0</v>
      </c>
      <c r="C1044" s="164">
        <v>12.0</v>
      </c>
      <c r="D1044" s="164">
        <v>69.0</v>
      </c>
      <c r="E1044" s="164" t="s">
        <v>323</v>
      </c>
      <c r="F1044" s="164" t="s">
        <v>324</v>
      </c>
      <c r="G1044" s="167">
        <v>46048.0</v>
      </c>
      <c r="H1044" s="159" t="s">
        <v>69</v>
      </c>
      <c r="I1044" s="164"/>
    </row>
    <row r="1045" ht="15.75" customHeight="1">
      <c r="A1045" s="78">
        <v>1041.0</v>
      </c>
      <c r="B1045" s="167">
        <v>46048.0</v>
      </c>
      <c r="C1045" s="164">
        <v>15.0</v>
      </c>
      <c r="D1045" s="164">
        <v>96.0</v>
      </c>
      <c r="E1045" s="164" t="s">
        <v>323</v>
      </c>
      <c r="F1045" s="164" t="s">
        <v>324</v>
      </c>
      <c r="G1045" s="167">
        <v>46048.0</v>
      </c>
      <c r="H1045" s="159" t="s">
        <v>69</v>
      </c>
      <c r="I1045" s="164"/>
    </row>
    <row r="1046" ht="15.75" customHeight="1">
      <c r="A1046" s="78">
        <v>1042.0</v>
      </c>
      <c r="B1046" s="167">
        <v>46048.0</v>
      </c>
      <c r="C1046" s="164">
        <v>17.0</v>
      </c>
      <c r="D1046" s="164">
        <v>94.0</v>
      </c>
      <c r="E1046" s="164" t="s">
        <v>323</v>
      </c>
      <c r="F1046" s="164" t="s">
        <v>324</v>
      </c>
      <c r="G1046" s="167">
        <v>46048.0</v>
      </c>
      <c r="H1046" s="159" t="s">
        <v>69</v>
      </c>
      <c r="I1046" s="164"/>
    </row>
    <row r="1047" ht="15.75" customHeight="1">
      <c r="A1047" s="78">
        <v>1043.0</v>
      </c>
      <c r="B1047" s="167">
        <v>46048.0</v>
      </c>
      <c r="C1047" s="164">
        <v>70.0</v>
      </c>
      <c r="D1047" s="164">
        <v>35.0</v>
      </c>
      <c r="E1047" s="164" t="s">
        <v>323</v>
      </c>
      <c r="F1047" s="164" t="s">
        <v>324</v>
      </c>
      <c r="G1047" s="167">
        <v>46048.0</v>
      </c>
      <c r="H1047" s="159" t="s">
        <v>69</v>
      </c>
      <c r="I1047" s="164"/>
    </row>
    <row r="1048" ht="15.75" customHeight="1">
      <c r="A1048" s="78">
        <v>1044.0</v>
      </c>
      <c r="B1048" s="167">
        <v>46048.0</v>
      </c>
      <c r="C1048" s="164">
        <v>95.0</v>
      </c>
      <c r="D1048" s="164">
        <v>67.0</v>
      </c>
      <c r="E1048" s="164" t="s">
        <v>337</v>
      </c>
      <c r="F1048" s="164" t="s">
        <v>324</v>
      </c>
      <c r="G1048" s="167">
        <v>46048.0</v>
      </c>
      <c r="H1048" s="159" t="s">
        <v>69</v>
      </c>
      <c r="I1048" s="164"/>
    </row>
    <row r="1049" ht="15.75" customHeight="1">
      <c r="A1049" s="78">
        <v>1045.0</v>
      </c>
      <c r="B1049" s="167">
        <v>46048.0</v>
      </c>
      <c r="C1049" s="164">
        <v>95.0</v>
      </c>
      <c r="D1049" s="164">
        <v>90.0</v>
      </c>
      <c r="E1049" s="164" t="s">
        <v>323</v>
      </c>
      <c r="F1049" s="164" t="s">
        <v>324</v>
      </c>
      <c r="G1049" s="167">
        <v>46048.0</v>
      </c>
      <c r="H1049" s="159" t="s">
        <v>69</v>
      </c>
      <c r="I1049" s="164"/>
    </row>
    <row r="1050" ht="15.75" customHeight="1">
      <c r="A1050" s="78">
        <v>1046.0</v>
      </c>
      <c r="B1050" s="167">
        <v>46048.0</v>
      </c>
      <c r="C1050" s="164">
        <v>99.0</v>
      </c>
      <c r="D1050" s="164">
        <v>136.0</v>
      </c>
      <c r="E1050" s="164" t="s">
        <v>323</v>
      </c>
      <c r="F1050" s="164" t="s">
        <v>324</v>
      </c>
      <c r="G1050" s="167">
        <v>46048.0</v>
      </c>
      <c r="H1050" s="159" t="s">
        <v>69</v>
      </c>
      <c r="I1050" s="164"/>
    </row>
    <row r="1051" ht="15.75" customHeight="1">
      <c r="A1051" s="78">
        <v>1047.0</v>
      </c>
      <c r="B1051" s="167">
        <v>46048.0</v>
      </c>
      <c r="C1051" s="164">
        <v>109.0</v>
      </c>
      <c r="D1051" s="164">
        <v>69.0</v>
      </c>
      <c r="E1051" s="164" t="s">
        <v>323</v>
      </c>
      <c r="F1051" s="164" t="s">
        <v>324</v>
      </c>
      <c r="G1051" s="167">
        <v>46048.0</v>
      </c>
      <c r="H1051" s="159" t="s">
        <v>69</v>
      </c>
      <c r="I1051" s="164"/>
    </row>
    <row r="1052" ht="15.75" customHeight="1">
      <c r="A1052" s="78">
        <v>1048.0</v>
      </c>
      <c r="B1052" s="167">
        <v>46048.0</v>
      </c>
      <c r="C1052" s="164">
        <v>114.0</v>
      </c>
      <c r="D1052" s="164">
        <v>120.0</v>
      </c>
      <c r="E1052" s="164" t="s">
        <v>323</v>
      </c>
      <c r="F1052" s="164" t="s">
        <v>324</v>
      </c>
      <c r="G1052" s="167">
        <v>46048.0</v>
      </c>
      <c r="H1052" s="159" t="s">
        <v>69</v>
      </c>
      <c r="I1052" s="164"/>
    </row>
    <row r="1053" ht="15.75" customHeight="1">
      <c r="A1053" s="78">
        <v>1049.0</v>
      </c>
      <c r="B1053" s="167">
        <v>46048.0</v>
      </c>
      <c r="C1053" s="164">
        <v>66.0</v>
      </c>
      <c r="D1053" s="164">
        <v>60.0</v>
      </c>
      <c r="E1053" s="164" t="s">
        <v>335</v>
      </c>
      <c r="F1053" s="164" t="s">
        <v>314</v>
      </c>
      <c r="G1053" s="146">
        <v>46049.0</v>
      </c>
      <c r="H1053" s="159" t="s">
        <v>69</v>
      </c>
      <c r="I1053" s="164" t="s">
        <v>390</v>
      </c>
    </row>
    <row r="1054" ht="15.75" customHeight="1">
      <c r="A1054" s="78">
        <v>1050.0</v>
      </c>
      <c r="B1054" s="146">
        <v>46049.0</v>
      </c>
      <c r="C1054" s="164">
        <v>42.0</v>
      </c>
      <c r="D1054" s="164">
        <v>31.0</v>
      </c>
      <c r="E1054" s="164" t="s">
        <v>323</v>
      </c>
      <c r="F1054" s="164" t="s">
        <v>309</v>
      </c>
      <c r="G1054" s="146">
        <v>46049.0</v>
      </c>
      <c r="H1054" s="159" t="s">
        <v>69</v>
      </c>
      <c r="I1054" s="164"/>
    </row>
    <row r="1055" ht="15.75" customHeight="1">
      <c r="A1055" s="78">
        <v>1051.0</v>
      </c>
      <c r="B1055" s="146">
        <v>46049.0</v>
      </c>
      <c r="C1055" s="164">
        <v>70.0</v>
      </c>
      <c r="D1055" s="164">
        <v>43.0</v>
      </c>
      <c r="E1055" s="164" t="s">
        <v>323</v>
      </c>
      <c r="F1055" s="164" t="s">
        <v>309</v>
      </c>
      <c r="G1055" s="146">
        <v>46049.0</v>
      </c>
      <c r="H1055" s="159" t="s">
        <v>69</v>
      </c>
      <c r="I1055" s="164"/>
    </row>
    <row r="1056" ht="15.75" customHeight="1">
      <c r="A1056" s="78">
        <v>1052.0</v>
      </c>
      <c r="B1056" s="146">
        <v>46049.0</v>
      </c>
      <c r="C1056" s="164">
        <v>101.0</v>
      </c>
      <c r="D1056" s="164">
        <v>105.0</v>
      </c>
      <c r="E1056" s="164" t="s">
        <v>323</v>
      </c>
      <c r="F1056" s="164" t="s">
        <v>309</v>
      </c>
      <c r="G1056" s="146">
        <v>46049.0</v>
      </c>
      <c r="H1056" s="159" t="s">
        <v>69</v>
      </c>
      <c r="I1056" s="164"/>
    </row>
    <row r="1057" ht="15.75" customHeight="1">
      <c r="A1057" s="78">
        <v>1053.0</v>
      </c>
      <c r="B1057" s="146">
        <v>46050.0</v>
      </c>
      <c r="C1057" s="164">
        <v>9.0</v>
      </c>
      <c r="D1057" s="164">
        <v>105.0</v>
      </c>
      <c r="E1057" s="164" t="s">
        <v>335</v>
      </c>
      <c r="F1057" s="164" t="s">
        <v>314</v>
      </c>
      <c r="G1057" s="146">
        <v>46051.0</v>
      </c>
      <c r="H1057" s="159" t="s">
        <v>69</v>
      </c>
      <c r="I1057" s="164" t="s">
        <v>333</v>
      </c>
    </row>
    <row r="1058" ht="15.75" customHeight="1">
      <c r="A1058" s="78">
        <v>1054.0</v>
      </c>
      <c r="B1058" s="146">
        <v>46050.0</v>
      </c>
      <c r="C1058" s="164">
        <v>80.0</v>
      </c>
      <c r="D1058" s="164">
        <v>46.0</v>
      </c>
      <c r="E1058" s="164" t="s">
        <v>323</v>
      </c>
      <c r="F1058" s="164" t="s">
        <v>309</v>
      </c>
      <c r="G1058" s="146">
        <v>46050.0</v>
      </c>
      <c r="H1058" s="159" t="s">
        <v>69</v>
      </c>
      <c r="I1058" s="164"/>
    </row>
    <row r="1059" ht="15.75" customHeight="1">
      <c r="A1059" s="78">
        <v>1055.0</v>
      </c>
      <c r="B1059" s="146">
        <v>46050.0</v>
      </c>
      <c r="C1059" s="164">
        <v>80.0</v>
      </c>
      <c r="D1059" s="164">
        <v>80.0</v>
      </c>
      <c r="E1059" s="164" t="s">
        <v>323</v>
      </c>
      <c r="F1059" s="164" t="s">
        <v>309</v>
      </c>
      <c r="G1059" s="146">
        <v>46050.0</v>
      </c>
      <c r="H1059" s="159" t="s">
        <v>69</v>
      </c>
      <c r="I1059" s="164"/>
    </row>
    <row r="1060" ht="15.75" customHeight="1">
      <c r="A1060" s="78">
        <v>1056.0</v>
      </c>
      <c r="B1060" s="146">
        <v>46050.0</v>
      </c>
      <c r="C1060" s="164">
        <v>89.0</v>
      </c>
      <c r="D1060" s="164">
        <v>51.0</v>
      </c>
      <c r="E1060" s="164" t="s">
        <v>323</v>
      </c>
      <c r="F1060" s="164" t="s">
        <v>309</v>
      </c>
      <c r="G1060" s="146">
        <v>46050.0</v>
      </c>
      <c r="H1060" s="159" t="s">
        <v>69</v>
      </c>
      <c r="I1060" s="164"/>
    </row>
    <row r="1061" ht="15.75" customHeight="1">
      <c r="A1061" s="78">
        <v>1057.0</v>
      </c>
      <c r="B1061" s="146">
        <v>46050.0</v>
      </c>
      <c r="C1061" s="164">
        <v>95.0</v>
      </c>
      <c r="D1061" s="164">
        <v>3.0</v>
      </c>
      <c r="E1061" s="164" t="s">
        <v>323</v>
      </c>
      <c r="F1061" s="164" t="s">
        <v>309</v>
      </c>
      <c r="G1061" s="146">
        <v>46050.0</v>
      </c>
      <c r="H1061" s="159" t="s">
        <v>69</v>
      </c>
      <c r="I1061" s="164"/>
    </row>
    <row r="1062" ht="15.75" customHeight="1">
      <c r="A1062" s="78">
        <v>1058.0</v>
      </c>
      <c r="B1062" s="146">
        <v>46050.0</v>
      </c>
      <c r="C1062" s="164">
        <v>99.0</v>
      </c>
      <c r="D1062" s="164">
        <v>9.0</v>
      </c>
      <c r="E1062" s="164" t="s">
        <v>370</v>
      </c>
      <c r="F1062" s="164" t="s">
        <v>309</v>
      </c>
      <c r="G1062" s="146">
        <v>46050.0</v>
      </c>
      <c r="H1062" s="159" t="s">
        <v>69</v>
      </c>
      <c r="I1062" s="164"/>
    </row>
    <row r="1063" ht="15.75" customHeight="1">
      <c r="A1063" s="78">
        <v>1059.0</v>
      </c>
      <c r="B1063" s="146">
        <v>46050.0</v>
      </c>
      <c r="C1063" s="164">
        <v>108.0</v>
      </c>
      <c r="D1063" s="164">
        <v>77.0</v>
      </c>
      <c r="E1063" s="164" t="s">
        <v>323</v>
      </c>
      <c r="F1063" s="164" t="s">
        <v>309</v>
      </c>
      <c r="G1063" s="146">
        <v>46050.0</v>
      </c>
      <c r="H1063" s="159" t="s">
        <v>69</v>
      </c>
      <c r="I1063" s="164"/>
    </row>
    <row r="1064" ht="15.75" customHeight="1">
      <c r="A1064" s="78">
        <v>1060.0</v>
      </c>
      <c r="B1064" s="146">
        <v>46050.0</v>
      </c>
      <c r="C1064" s="164">
        <v>109.0</v>
      </c>
      <c r="D1064" s="164">
        <v>39.0</v>
      </c>
      <c r="E1064" s="164" t="s">
        <v>323</v>
      </c>
      <c r="F1064" s="164" t="s">
        <v>309</v>
      </c>
      <c r="G1064" s="146">
        <v>46050.0</v>
      </c>
      <c r="H1064" s="159" t="s">
        <v>69</v>
      </c>
      <c r="I1064" s="164"/>
    </row>
    <row r="1065" ht="15.75" customHeight="1">
      <c r="A1065" s="78">
        <v>1061.0</v>
      </c>
      <c r="B1065" s="146">
        <v>46050.0</v>
      </c>
      <c r="C1065" s="164">
        <v>117.0</v>
      </c>
      <c r="D1065" s="164">
        <v>121.0</v>
      </c>
      <c r="E1065" s="164" t="s">
        <v>310</v>
      </c>
      <c r="F1065" s="164" t="s">
        <v>309</v>
      </c>
      <c r="G1065" s="146">
        <v>46050.0</v>
      </c>
      <c r="H1065" s="159" t="s">
        <v>69</v>
      </c>
      <c r="I1065" s="164"/>
    </row>
    <row r="1066" ht="15.75" customHeight="1">
      <c r="A1066" s="78">
        <v>1062.0</v>
      </c>
      <c r="B1066" s="146">
        <v>46051.0</v>
      </c>
      <c r="C1066" s="164">
        <v>16.0</v>
      </c>
      <c r="D1066" s="164">
        <v>116.0</v>
      </c>
      <c r="E1066" s="164" t="s">
        <v>336</v>
      </c>
      <c r="F1066" s="164" t="s">
        <v>314</v>
      </c>
      <c r="G1066" s="146">
        <v>46054.0</v>
      </c>
      <c r="H1066" s="159" t="s">
        <v>69</v>
      </c>
      <c r="I1066" s="164" t="s">
        <v>333</v>
      </c>
    </row>
    <row r="1067" ht="15.75" customHeight="1">
      <c r="A1067" s="78">
        <v>1063.0</v>
      </c>
      <c r="B1067" s="146">
        <v>46051.0</v>
      </c>
      <c r="C1067" s="164">
        <v>19.0</v>
      </c>
      <c r="D1067" s="164">
        <v>60.0</v>
      </c>
      <c r="E1067" s="164" t="s">
        <v>337</v>
      </c>
      <c r="F1067" s="164" t="s">
        <v>309</v>
      </c>
      <c r="G1067" s="146">
        <v>46051.0</v>
      </c>
      <c r="H1067" s="159" t="s">
        <v>69</v>
      </c>
      <c r="I1067" s="164"/>
    </row>
    <row r="1068" ht="15.75" customHeight="1">
      <c r="A1068" s="78">
        <v>1064.0</v>
      </c>
      <c r="B1068" s="146">
        <v>46051.0</v>
      </c>
      <c r="C1068" s="164">
        <v>19.0</v>
      </c>
      <c r="D1068" s="164">
        <v>104.0</v>
      </c>
      <c r="E1068" s="164" t="s">
        <v>323</v>
      </c>
      <c r="F1068" s="164" t="s">
        <v>309</v>
      </c>
      <c r="G1068" s="146">
        <v>46051.0</v>
      </c>
      <c r="H1068" s="159" t="s">
        <v>69</v>
      </c>
      <c r="I1068" s="164"/>
    </row>
    <row r="1069" ht="15.75" customHeight="1">
      <c r="A1069" s="78">
        <v>1065.0</v>
      </c>
      <c r="B1069" s="146">
        <v>46051.0</v>
      </c>
      <c r="C1069" s="164">
        <v>58.0</v>
      </c>
      <c r="D1069" s="164">
        <v>45.0</v>
      </c>
      <c r="E1069" s="164" t="s">
        <v>335</v>
      </c>
      <c r="F1069" s="164" t="s">
        <v>314</v>
      </c>
      <c r="G1069" s="146">
        <v>46053.0</v>
      </c>
      <c r="H1069" s="159" t="s">
        <v>69</v>
      </c>
      <c r="I1069" s="164" t="s">
        <v>333</v>
      </c>
    </row>
    <row r="1070" ht="15.75" customHeight="1">
      <c r="A1070" s="78">
        <v>1066.0</v>
      </c>
      <c r="B1070" s="146">
        <v>46051.0</v>
      </c>
      <c r="C1070" s="164">
        <v>89.0</v>
      </c>
      <c r="D1070" s="164">
        <v>139.0</v>
      </c>
      <c r="E1070" s="164" t="s">
        <v>323</v>
      </c>
      <c r="F1070" s="164" t="s">
        <v>309</v>
      </c>
      <c r="G1070" s="146">
        <v>46051.0</v>
      </c>
      <c r="H1070" s="159" t="s">
        <v>69</v>
      </c>
      <c r="I1070" s="164"/>
    </row>
    <row r="1071" ht="15.75" customHeight="1">
      <c r="A1071" s="78">
        <v>1067.0</v>
      </c>
      <c r="B1071" s="146">
        <v>46051.0</v>
      </c>
      <c r="C1071" s="164">
        <v>95.0</v>
      </c>
      <c r="D1071" s="164">
        <v>15.0</v>
      </c>
      <c r="E1071" s="164" t="s">
        <v>323</v>
      </c>
      <c r="F1071" s="164" t="s">
        <v>309</v>
      </c>
      <c r="G1071" s="146">
        <v>46051.0</v>
      </c>
      <c r="H1071" s="159" t="s">
        <v>69</v>
      </c>
      <c r="I1071" s="164"/>
    </row>
    <row r="1072" ht="15.75" customHeight="1">
      <c r="A1072" s="78">
        <v>1068.0</v>
      </c>
      <c r="B1072" s="146">
        <v>46051.0</v>
      </c>
      <c r="C1072" s="164">
        <v>101.0</v>
      </c>
      <c r="D1072" s="164">
        <v>113.0</v>
      </c>
      <c r="E1072" s="164" t="s">
        <v>322</v>
      </c>
      <c r="F1072" s="164" t="s">
        <v>312</v>
      </c>
      <c r="G1072" s="146">
        <v>46051.0</v>
      </c>
      <c r="H1072" s="159" t="s">
        <v>69</v>
      </c>
      <c r="I1072" s="164"/>
    </row>
    <row r="1073" ht="15.75" customHeight="1">
      <c r="A1073" s="78">
        <v>1069.0</v>
      </c>
      <c r="B1073" s="146">
        <v>46052.0</v>
      </c>
      <c r="C1073" s="164">
        <v>22.0</v>
      </c>
      <c r="D1073" s="164">
        <v>44.0</v>
      </c>
      <c r="E1073" s="164" t="s">
        <v>323</v>
      </c>
      <c r="F1073" s="164" t="s">
        <v>309</v>
      </c>
      <c r="G1073" s="146">
        <v>46052.0</v>
      </c>
      <c r="H1073" s="159" t="s">
        <v>69</v>
      </c>
      <c r="I1073" s="164"/>
    </row>
    <row r="1074" ht="15.75" customHeight="1">
      <c r="A1074" s="78">
        <v>1070.0</v>
      </c>
      <c r="B1074" s="146">
        <v>46052.0</v>
      </c>
      <c r="C1074" s="164">
        <v>30.0</v>
      </c>
      <c r="D1074" s="164">
        <v>21.0</v>
      </c>
      <c r="E1074" s="164" t="s">
        <v>323</v>
      </c>
      <c r="F1074" s="164" t="s">
        <v>309</v>
      </c>
      <c r="G1074" s="146">
        <v>46052.0</v>
      </c>
      <c r="H1074" s="159" t="s">
        <v>69</v>
      </c>
      <c r="I1074" s="164"/>
    </row>
    <row r="1075" ht="15.75" customHeight="1">
      <c r="A1075" s="78">
        <v>1071.0</v>
      </c>
      <c r="B1075" s="146">
        <v>46052.0</v>
      </c>
      <c r="C1075" s="164">
        <v>43.0</v>
      </c>
      <c r="D1075" s="164">
        <v>18.0</v>
      </c>
      <c r="E1075" s="164" t="s">
        <v>335</v>
      </c>
      <c r="F1075" s="164" t="s">
        <v>309</v>
      </c>
      <c r="G1075" s="146">
        <v>46052.0</v>
      </c>
      <c r="H1075" s="159" t="s">
        <v>69</v>
      </c>
      <c r="I1075" s="164"/>
    </row>
    <row r="1076" ht="15.75" customHeight="1">
      <c r="A1076" s="78">
        <v>1072.0</v>
      </c>
      <c r="B1076" s="146">
        <v>46052.0</v>
      </c>
      <c r="C1076" s="164">
        <v>50.0</v>
      </c>
      <c r="D1076" s="164">
        <v>24.0</v>
      </c>
      <c r="E1076" s="164" t="s">
        <v>323</v>
      </c>
      <c r="F1076" s="164" t="s">
        <v>309</v>
      </c>
      <c r="G1076" s="146">
        <v>46052.0</v>
      </c>
      <c r="H1076" s="159" t="s">
        <v>69</v>
      </c>
      <c r="I1076" s="164"/>
    </row>
    <row r="1077" ht="15.75" customHeight="1">
      <c r="A1077" s="78">
        <v>1073.0</v>
      </c>
      <c r="B1077" s="146">
        <v>46052.0</v>
      </c>
      <c r="C1077" s="164">
        <v>50.0</v>
      </c>
      <c r="D1077" s="164">
        <v>36.0</v>
      </c>
      <c r="E1077" s="164" t="s">
        <v>323</v>
      </c>
      <c r="F1077" s="164" t="s">
        <v>309</v>
      </c>
      <c r="G1077" s="146">
        <v>46052.0</v>
      </c>
      <c r="H1077" s="159" t="s">
        <v>69</v>
      </c>
      <c r="I1077" s="164"/>
    </row>
    <row r="1078" ht="15.75" customHeight="1">
      <c r="A1078" s="78">
        <v>1074.0</v>
      </c>
      <c r="B1078" s="146">
        <v>46052.0</v>
      </c>
      <c r="C1078" s="164">
        <v>54.0</v>
      </c>
      <c r="D1078" s="164">
        <v>74.0</v>
      </c>
      <c r="E1078" s="164" t="s">
        <v>313</v>
      </c>
      <c r="F1078" s="164" t="s">
        <v>309</v>
      </c>
      <c r="G1078" s="146">
        <v>46052.0</v>
      </c>
      <c r="H1078" s="159" t="s">
        <v>69</v>
      </c>
      <c r="I1078" s="164"/>
    </row>
    <row r="1079" ht="15.75" customHeight="1">
      <c r="A1079" s="78">
        <v>1075.0</v>
      </c>
      <c r="B1079" s="146">
        <v>46052.0</v>
      </c>
      <c r="C1079" s="164">
        <v>55.0</v>
      </c>
      <c r="D1079" s="164">
        <v>97.0</v>
      </c>
      <c r="E1079" s="164" t="s">
        <v>323</v>
      </c>
      <c r="F1079" s="164" t="s">
        <v>309</v>
      </c>
      <c r="G1079" s="146">
        <v>46052.0</v>
      </c>
      <c r="H1079" s="159" t="s">
        <v>69</v>
      </c>
      <c r="I1079" s="164"/>
    </row>
    <row r="1080" ht="15.75" customHeight="1">
      <c r="A1080" s="78">
        <v>1076.0</v>
      </c>
      <c r="B1080" s="146">
        <v>46052.0</v>
      </c>
      <c r="C1080" s="164">
        <v>60.0</v>
      </c>
      <c r="D1080" s="164">
        <v>91.0</v>
      </c>
      <c r="E1080" s="164" t="s">
        <v>323</v>
      </c>
      <c r="F1080" s="164" t="s">
        <v>309</v>
      </c>
      <c r="G1080" s="146">
        <v>46052.0</v>
      </c>
      <c r="H1080" s="159" t="s">
        <v>69</v>
      </c>
      <c r="I1080" s="164"/>
    </row>
    <row r="1081" ht="15.75" customHeight="1">
      <c r="A1081" s="78">
        <v>1077.0</v>
      </c>
      <c r="B1081" s="146">
        <v>46052.0</v>
      </c>
      <c r="C1081" s="164">
        <v>99.0</v>
      </c>
      <c r="D1081" s="164">
        <v>5.0</v>
      </c>
      <c r="E1081" s="164" t="s">
        <v>370</v>
      </c>
      <c r="F1081" s="164" t="s">
        <v>309</v>
      </c>
      <c r="G1081" s="146">
        <v>46052.0</v>
      </c>
      <c r="H1081" s="159" t="s">
        <v>69</v>
      </c>
      <c r="I1081" s="164"/>
    </row>
    <row r="1082" ht="15.75" customHeight="1">
      <c r="A1082" s="78">
        <v>1078.0</v>
      </c>
      <c r="B1082" s="146">
        <v>46052.0</v>
      </c>
      <c r="C1082" s="164">
        <v>114.0</v>
      </c>
      <c r="D1082" s="164">
        <v>102.0</v>
      </c>
      <c r="E1082" s="164" t="s">
        <v>323</v>
      </c>
      <c r="F1082" s="164" t="s">
        <v>309</v>
      </c>
      <c r="G1082" s="146">
        <v>46052.0</v>
      </c>
      <c r="H1082" s="159" t="s">
        <v>69</v>
      </c>
      <c r="I1082" s="164"/>
    </row>
    <row r="1083" ht="15.75" customHeight="1">
      <c r="A1083" s="78">
        <v>1079.0</v>
      </c>
      <c r="B1083" s="146">
        <v>46053.0</v>
      </c>
      <c r="C1083" s="164">
        <v>54.0</v>
      </c>
      <c r="D1083" s="164">
        <v>74.0</v>
      </c>
      <c r="E1083" s="164" t="s">
        <v>323</v>
      </c>
      <c r="F1083" s="164" t="s">
        <v>324</v>
      </c>
      <c r="G1083" s="146">
        <v>46053.0</v>
      </c>
      <c r="H1083" s="159" t="s">
        <v>69</v>
      </c>
      <c r="I1083" s="164"/>
    </row>
    <row r="1084" ht="15.75" customHeight="1">
      <c r="A1084" s="78">
        <v>1080.0</v>
      </c>
      <c r="B1084" s="146">
        <v>46053.0</v>
      </c>
      <c r="C1084" s="164">
        <v>74.0</v>
      </c>
      <c r="D1084" s="164">
        <v>24.0</v>
      </c>
      <c r="E1084" s="164" t="s">
        <v>323</v>
      </c>
      <c r="F1084" s="164" t="s">
        <v>324</v>
      </c>
      <c r="G1084" s="146">
        <v>46053.0</v>
      </c>
      <c r="H1084" s="159" t="s">
        <v>69</v>
      </c>
      <c r="I1084" s="164"/>
    </row>
    <row r="1085" ht="15.75" customHeight="1">
      <c r="A1085" s="78">
        <v>1081.0</v>
      </c>
      <c r="B1085" s="146">
        <v>46053.0</v>
      </c>
      <c r="C1085" s="164">
        <v>74.0</v>
      </c>
      <c r="D1085" s="164">
        <v>59.0</v>
      </c>
      <c r="E1085" s="164" t="s">
        <v>323</v>
      </c>
      <c r="F1085" s="164" t="s">
        <v>324</v>
      </c>
      <c r="G1085" s="146">
        <v>46053.0</v>
      </c>
      <c r="H1085" s="159" t="s">
        <v>69</v>
      </c>
      <c r="I1085" s="164"/>
    </row>
    <row r="1086" ht="15.75" customHeight="1">
      <c r="A1086" s="78">
        <v>1082.0</v>
      </c>
      <c r="B1086" s="146">
        <v>46053.0</v>
      </c>
      <c r="C1086" s="164">
        <v>74.0</v>
      </c>
      <c r="D1086" s="164">
        <v>72.0</v>
      </c>
      <c r="E1086" s="164" t="s">
        <v>323</v>
      </c>
      <c r="F1086" s="164" t="s">
        <v>324</v>
      </c>
      <c r="G1086" s="146">
        <v>46053.0</v>
      </c>
      <c r="H1086" s="159" t="s">
        <v>69</v>
      </c>
      <c r="I1086" s="164"/>
    </row>
    <row r="1087" ht="15.75" customHeight="1">
      <c r="A1087" s="78">
        <v>1083.0</v>
      </c>
      <c r="B1087" s="146">
        <v>46053.0</v>
      </c>
      <c r="C1087" s="164">
        <v>114.0</v>
      </c>
      <c r="D1087" s="164">
        <v>102.0</v>
      </c>
      <c r="E1087" s="164" t="s">
        <v>323</v>
      </c>
      <c r="F1087" s="164" t="s">
        <v>324</v>
      </c>
      <c r="G1087" s="146">
        <v>46053.0</v>
      </c>
      <c r="H1087" s="159" t="s">
        <v>69</v>
      </c>
      <c r="I1087" s="164"/>
    </row>
    <row r="1088" ht="15.75" customHeight="1">
      <c r="A1088" s="78">
        <v>1084.0</v>
      </c>
      <c r="B1088" s="146">
        <v>46054.0</v>
      </c>
      <c r="C1088" s="164">
        <v>35.0</v>
      </c>
      <c r="D1088" s="164">
        <v>71.0</v>
      </c>
      <c r="E1088" s="164" t="s">
        <v>313</v>
      </c>
      <c r="F1088" s="164" t="s">
        <v>324</v>
      </c>
      <c r="G1088" s="146">
        <v>46054.0</v>
      </c>
      <c r="H1088" s="159" t="s">
        <v>69</v>
      </c>
      <c r="I1088" s="164"/>
    </row>
    <row r="1089" ht="15.75" customHeight="1">
      <c r="A1089" s="78">
        <v>1085.0</v>
      </c>
      <c r="B1089" s="146">
        <v>46054.0</v>
      </c>
      <c r="C1089" s="164">
        <v>50.0</v>
      </c>
      <c r="D1089" s="164">
        <v>24.0</v>
      </c>
      <c r="E1089" s="164" t="s">
        <v>323</v>
      </c>
      <c r="F1089" s="164" t="s">
        <v>324</v>
      </c>
      <c r="G1089" s="146">
        <v>46054.0</v>
      </c>
      <c r="H1089" s="159" t="s">
        <v>69</v>
      </c>
      <c r="I1089" s="164"/>
    </row>
    <row r="1090" ht="15.75" customHeight="1">
      <c r="A1090" s="78">
        <v>1086.0</v>
      </c>
      <c r="B1090" s="146">
        <v>46054.0</v>
      </c>
      <c r="C1090" s="164">
        <v>50.0</v>
      </c>
      <c r="D1090" s="164">
        <v>36.0</v>
      </c>
      <c r="E1090" s="164" t="s">
        <v>323</v>
      </c>
      <c r="F1090" s="164" t="s">
        <v>324</v>
      </c>
      <c r="G1090" s="146">
        <v>46054.0</v>
      </c>
      <c r="H1090" s="159" t="s">
        <v>69</v>
      </c>
      <c r="I1090" s="164"/>
    </row>
    <row r="1091" ht="15.75" customHeight="1">
      <c r="A1091" s="78">
        <v>1087.0</v>
      </c>
      <c r="B1091" s="146">
        <v>46054.0</v>
      </c>
      <c r="C1091" s="164">
        <v>54.0</v>
      </c>
      <c r="D1091" s="164">
        <v>104.0</v>
      </c>
      <c r="E1091" s="164" t="s">
        <v>323</v>
      </c>
      <c r="F1091" s="164" t="s">
        <v>324</v>
      </c>
      <c r="G1091" s="146">
        <v>46054.0</v>
      </c>
      <c r="H1091" s="159" t="s">
        <v>69</v>
      </c>
      <c r="I1091" s="164"/>
    </row>
    <row r="1092" ht="15.75" customHeight="1">
      <c r="A1092" s="78">
        <v>1088.0</v>
      </c>
      <c r="B1092" s="146">
        <v>46054.0</v>
      </c>
      <c r="C1092" s="164">
        <v>54.0</v>
      </c>
      <c r="D1092" s="164">
        <v>112.0</v>
      </c>
      <c r="E1092" s="164" t="s">
        <v>323</v>
      </c>
      <c r="F1092" s="164" t="s">
        <v>324</v>
      </c>
      <c r="G1092" s="146">
        <v>46054.0</v>
      </c>
      <c r="H1092" s="159" t="s">
        <v>69</v>
      </c>
      <c r="I1092" s="164"/>
    </row>
    <row r="1093" ht="15.75" customHeight="1">
      <c r="A1093" s="78">
        <v>1089.0</v>
      </c>
      <c r="B1093" s="146">
        <v>46054.0</v>
      </c>
      <c r="C1093" s="164">
        <v>54.0</v>
      </c>
      <c r="D1093" s="164">
        <v>114.0</v>
      </c>
      <c r="E1093" s="164" t="s">
        <v>323</v>
      </c>
      <c r="F1093" s="164" t="s">
        <v>324</v>
      </c>
      <c r="G1093" s="146">
        <v>46054.0</v>
      </c>
      <c r="H1093" s="159" t="s">
        <v>69</v>
      </c>
      <c r="I1093" s="164"/>
    </row>
    <row r="1094" ht="15.75" customHeight="1">
      <c r="A1094" s="78">
        <v>1090.0</v>
      </c>
      <c r="B1094" s="146">
        <v>46054.0</v>
      </c>
      <c r="C1094" s="164">
        <v>54.0</v>
      </c>
      <c r="D1094" s="164">
        <v>116.0</v>
      </c>
      <c r="E1094" s="164" t="s">
        <v>323</v>
      </c>
      <c r="F1094" s="164" t="s">
        <v>324</v>
      </c>
      <c r="G1094" s="146">
        <v>46054.0</v>
      </c>
      <c r="H1094" s="159" t="s">
        <v>69</v>
      </c>
      <c r="I1094" s="164"/>
    </row>
    <row r="1095" ht="15.75" customHeight="1">
      <c r="A1095" s="78">
        <v>1091.0</v>
      </c>
      <c r="B1095" s="146">
        <v>46054.0</v>
      </c>
      <c r="C1095" s="164">
        <v>65.0</v>
      </c>
      <c r="D1095" s="164">
        <v>114.0</v>
      </c>
      <c r="E1095" s="164" t="s">
        <v>322</v>
      </c>
      <c r="F1095" s="164" t="s">
        <v>312</v>
      </c>
      <c r="G1095" s="146">
        <v>46054.0</v>
      </c>
      <c r="H1095" s="159" t="s">
        <v>69</v>
      </c>
      <c r="I1095" s="164"/>
    </row>
    <row r="1096" ht="15.75" customHeight="1">
      <c r="A1096" s="78">
        <v>1092.0</v>
      </c>
      <c r="B1096" s="146">
        <v>46054.0</v>
      </c>
      <c r="C1096" s="164">
        <v>68.0</v>
      </c>
      <c r="D1096" s="164">
        <v>137.0</v>
      </c>
      <c r="E1096" s="164" t="s">
        <v>323</v>
      </c>
      <c r="F1096" s="164" t="s">
        <v>324</v>
      </c>
      <c r="G1096" s="146">
        <v>46054.0</v>
      </c>
      <c r="H1096" s="159" t="s">
        <v>69</v>
      </c>
      <c r="I1096" s="164"/>
    </row>
    <row r="1097" ht="15.75" customHeight="1">
      <c r="A1097" s="78">
        <v>1093.0</v>
      </c>
      <c r="B1097" s="146">
        <v>46054.0</v>
      </c>
      <c r="C1097" s="164">
        <v>70.0</v>
      </c>
      <c r="D1097" s="164">
        <v>24.0</v>
      </c>
      <c r="E1097" s="164" t="s">
        <v>323</v>
      </c>
      <c r="F1097" s="164" t="s">
        <v>324</v>
      </c>
      <c r="G1097" s="146">
        <v>46054.0</v>
      </c>
      <c r="H1097" s="159" t="s">
        <v>69</v>
      </c>
      <c r="I1097" s="164"/>
    </row>
    <row r="1098" ht="15.75" customHeight="1">
      <c r="A1098" s="78">
        <v>1094.0</v>
      </c>
      <c r="B1098" s="146">
        <v>46054.0</v>
      </c>
      <c r="C1098" s="164">
        <v>70.0</v>
      </c>
      <c r="D1098" s="164">
        <v>34.0</v>
      </c>
      <c r="E1098" s="164" t="s">
        <v>323</v>
      </c>
      <c r="F1098" s="164" t="s">
        <v>324</v>
      </c>
      <c r="G1098" s="146">
        <v>46054.0</v>
      </c>
      <c r="H1098" s="159" t="s">
        <v>69</v>
      </c>
      <c r="I1098" s="164"/>
    </row>
    <row r="1099" ht="15.75" customHeight="1">
      <c r="A1099" s="78">
        <v>1095.0</v>
      </c>
      <c r="B1099" s="146">
        <v>46054.0</v>
      </c>
      <c r="C1099" s="164">
        <v>70.0</v>
      </c>
      <c r="D1099" s="164">
        <v>38.0</v>
      </c>
      <c r="E1099" s="164" t="s">
        <v>323</v>
      </c>
      <c r="F1099" s="164" t="s">
        <v>324</v>
      </c>
      <c r="G1099" s="146">
        <v>46054.0</v>
      </c>
      <c r="H1099" s="159" t="s">
        <v>69</v>
      </c>
      <c r="I1099" s="164"/>
    </row>
    <row r="1100" ht="15.75" customHeight="1">
      <c r="A1100" s="78">
        <v>1096.0</v>
      </c>
      <c r="B1100" s="146">
        <v>46054.0</v>
      </c>
      <c r="C1100" s="164">
        <v>70.0</v>
      </c>
      <c r="D1100" s="164">
        <v>43.0</v>
      </c>
      <c r="E1100" s="164" t="s">
        <v>323</v>
      </c>
      <c r="F1100" s="164" t="s">
        <v>324</v>
      </c>
      <c r="G1100" s="146">
        <v>46054.0</v>
      </c>
      <c r="H1100" s="159" t="s">
        <v>69</v>
      </c>
      <c r="I1100" s="164"/>
    </row>
    <row r="1101" ht="15.75" customHeight="1">
      <c r="A1101" s="78">
        <v>1097.0</v>
      </c>
      <c r="B1101" s="146">
        <v>46054.0</v>
      </c>
      <c r="C1101" s="164">
        <v>90.0</v>
      </c>
      <c r="D1101" s="164">
        <v>99.0</v>
      </c>
      <c r="E1101" s="164" t="s">
        <v>323</v>
      </c>
      <c r="F1101" s="164" t="s">
        <v>324</v>
      </c>
      <c r="G1101" s="146">
        <v>46054.0</v>
      </c>
      <c r="H1101" s="159" t="s">
        <v>69</v>
      </c>
      <c r="I1101" s="164"/>
    </row>
    <row r="1102" ht="15.75" customHeight="1">
      <c r="A1102" s="78">
        <v>1098.0</v>
      </c>
      <c r="B1102" s="146">
        <v>46054.0</v>
      </c>
      <c r="C1102" s="164">
        <v>94.0</v>
      </c>
      <c r="D1102" s="164">
        <v>105.0</v>
      </c>
      <c r="E1102" s="164" t="s">
        <v>323</v>
      </c>
      <c r="F1102" s="164" t="s">
        <v>324</v>
      </c>
      <c r="G1102" s="146">
        <v>46054.0</v>
      </c>
      <c r="H1102" s="159" t="s">
        <v>69</v>
      </c>
      <c r="I1102" s="164"/>
    </row>
    <row r="1103" ht="15.75" customHeight="1">
      <c r="A1103" s="78">
        <v>1099.0</v>
      </c>
      <c r="B1103" s="146">
        <v>46054.0</v>
      </c>
      <c r="C1103" s="164">
        <v>94.0</v>
      </c>
      <c r="D1103" s="164">
        <v>128.0</v>
      </c>
      <c r="E1103" s="164" t="s">
        <v>323</v>
      </c>
      <c r="F1103" s="164" t="s">
        <v>324</v>
      </c>
      <c r="G1103" s="146">
        <v>46054.0</v>
      </c>
      <c r="H1103" s="159" t="s">
        <v>69</v>
      </c>
      <c r="I1103" s="164"/>
    </row>
    <row r="1104" ht="15.75" customHeight="1">
      <c r="A1104" s="78">
        <v>1100.0</v>
      </c>
      <c r="B1104" s="146">
        <v>46054.0</v>
      </c>
      <c r="C1104" s="164">
        <v>101.0</v>
      </c>
      <c r="D1104" s="164">
        <v>26.0</v>
      </c>
      <c r="E1104" s="164" t="s">
        <v>323</v>
      </c>
      <c r="F1104" s="164" t="s">
        <v>324</v>
      </c>
      <c r="G1104" s="146">
        <v>46054.0</v>
      </c>
      <c r="H1104" s="159" t="s">
        <v>69</v>
      </c>
      <c r="I1104" s="164"/>
    </row>
    <row r="1105" ht="15.75" customHeight="1">
      <c r="A1105" s="78">
        <v>1101.0</v>
      </c>
      <c r="B1105" s="146">
        <v>46054.0</v>
      </c>
      <c r="C1105" s="164">
        <v>4.0</v>
      </c>
      <c r="D1105" s="164">
        <v>98.0</v>
      </c>
      <c r="E1105" s="164" t="s">
        <v>337</v>
      </c>
      <c r="F1105" s="164" t="s">
        <v>324</v>
      </c>
      <c r="G1105" s="146">
        <v>46054.0</v>
      </c>
      <c r="H1105" s="159" t="s">
        <v>69</v>
      </c>
      <c r="I1105" s="164"/>
    </row>
    <row r="1106" ht="15.75" customHeight="1">
      <c r="A1106" s="78">
        <v>1102.0</v>
      </c>
      <c r="B1106" s="146">
        <v>46054.0</v>
      </c>
      <c r="C1106" s="164">
        <v>34.0</v>
      </c>
      <c r="D1106" s="164">
        <v>119.0</v>
      </c>
      <c r="E1106" s="164" t="s">
        <v>323</v>
      </c>
      <c r="F1106" s="164" t="s">
        <v>324</v>
      </c>
      <c r="G1106" s="146">
        <v>46054.0</v>
      </c>
      <c r="H1106" s="159" t="s">
        <v>69</v>
      </c>
      <c r="I1106" s="164"/>
    </row>
    <row r="1107" ht="15.75" customHeight="1">
      <c r="A1107" s="78">
        <v>1103.0</v>
      </c>
      <c r="B1107" s="146">
        <v>46055.0</v>
      </c>
      <c r="C1107" s="164">
        <v>11.0</v>
      </c>
      <c r="D1107" s="164">
        <v>108.0</v>
      </c>
      <c r="E1107" s="164" t="s">
        <v>337</v>
      </c>
      <c r="F1107" s="164" t="s">
        <v>324</v>
      </c>
      <c r="G1107" s="146">
        <v>46055.0</v>
      </c>
      <c r="H1107" s="159" t="s">
        <v>69</v>
      </c>
      <c r="I1107" s="164"/>
    </row>
    <row r="1108" ht="15.75" customHeight="1">
      <c r="A1108" s="78">
        <v>1104.0</v>
      </c>
      <c r="B1108" s="146">
        <v>46055.0</v>
      </c>
      <c r="C1108" s="164">
        <v>54.0</v>
      </c>
      <c r="D1108" s="164">
        <v>112.0</v>
      </c>
      <c r="E1108" s="164" t="s">
        <v>323</v>
      </c>
      <c r="F1108" s="164" t="s">
        <v>324</v>
      </c>
      <c r="G1108" s="146">
        <v>46055.0</v>
      </c>
      <c r="H1108" s="159" t="s">
        <v>69</v>
      </c>
      <c r="I1108" s="164"/>
    </row>
    <row r="1109" ht="15.75" customHeight="1">
      <c r="A1109" s="78">
        <v>1105.0</v>
      </c>
      <c r="B1109" s="146">
        <v>46055.0</v>
      </c>
      <c r="C1109" s="164">
        <v>94.0</v>
      </c>
      <c r="D1109" s="164">
        <v>125.0</v>
      </c>
      <c r="E1109" s="164" t="s">
        <v>323</v>
      </c>
      <c r="F1109" s="164" t="s">
        <v>324</v>
      </c>
      <c r="G1109" s="146">
        <v>46055.0</v>
      </c>
      <c r="H1109" s="159" t="s">
        <v>69</v>
      </c>
      <c r="I1109" s="164"/>
    </row>
    <row r="1110" ht="15.75" customHeight="1">
      <c r="A1110" s="78">
        <v>1106.0</v>
      </c>
      <c r="B1110" s="146">
        <v>46056.0</v>
      </c>
      <c r="C1110" s="164">
        <v>38.0</v>
      </c>
      <c r="D1110" s="164">
        <v>115.0</v>
      </c>
      <c r="E1110" s="164" t="s">
        <v>337</v>
      </c>
      <c r="F1110" s="164" t="s">
        <v>324</v>
      </c>
      <c r="G1110" s="146">
        <v>46056.0</v>
      </c>
      <c r="H1110" s="159" t="s">
        <v>69</v>
      </c>
      <c r="I1110" s="164"/>
    </row>
    <row r="1111" ht="15.75" customHeight="1">
      <c r="A1111" s="78">
        <v>1107.0</v>
      </c>
      <c r="B1111" s="146">
        <v>46056.0</v>
      </c>
      <c r="C1111" s="164">
        <v>38.0</v>
      </c>
      <c r="D1111" s="164">
        <v>146.0</v>
      </c>
      <c r="E1111" s="164" t="s">
        <v>322</v>
      </c>
      <c r="F1111" s="164" t="s">
        <v>312</v>
      </c>
      <c r="G1111" s="146">
        <v>46056.0</v>
      </c>
      <c r="H1111" s="159" t="s">
        <v>69</v>
      </c>
      <c r="I1111" s="164"/>
    </row>
    <row r="1112" ht="15.75" customHeight="1">
      <c r="A1112" s="78">
        <v>1108.0</v>
      </c>
      <c r="B1112" s="146">
        <v>46056.0</v>
      </c>
      <c r="C1112" s="164">
        <v>46.0</v>
      </c>
      <c r="D1112" s="164">
        <v>13.0</v>
      </c>
      <c r="E1112" s="164" t="s">
        <v>322</v>
      </c>
      <c r="F1112" s="164" t="s">
        <v>312</v>
      </c>
      <c r="G1112" s="146">
        <v>46056.0</v>
      </c>
      <c r="H1112" s="159" t="s">
        <v>69</v>
      </c>
      <c r="I1112" s="164"/>
    </row>
    <row r="1113" ht="15.75" customHeight="1">
      <c r="A1113" s="78">
        <v>1109.0</v>
      </c>
      <c r="B1113" s="146">
        <v>46056.0</v>
      </c>
      <c r="C1113" s="164">
        <v>70.0</v>
      </c>
      <c r="D1113" s="164">
        <v>20.0</v>
      </c>
      <c r="E1113" s="164" t="s">
        <v>323</v>
      </c>
      <c r="F1113" s="164" t="s">
        <v>324</v>
      </c>
      <c r="G1113" s="146">
        <v>46056.0</v>
      </c>
      <c r="H1113" s="159" t="s">
        <v>69</v>
      </c>
      <c r="I1113" s="164"/>
    </row>
    <row r="1114" ht="15.75" customHeight="1">
      <c r="A1114" s="78">
        <v>1110.0</v>
      </c>
      <c r="B1114" s="146">
        <v>46056.0</v>
      </c>
      <c r="C1114" s="164">
        <v>70.0</v>
      </c>
      <c r="D1114" s="164">
        <v>26.0</v>
      </c>
      <c r="E1114" s="164" t="s">
        <v>323</v>
      </c>
      <c r="F1114" s="164" t="s">
        <v>324</v>
      </c>
      <c r="G1114" s="146">
        <v>46056.0</v>
      </c>
      <c r="H1114" s="159" t="s">
        <v>69</v>
      </c>
      <c r="I1114" s="164"/>
    </row>
    <row r="1115" ht="15.75" customHeight="1">
      <c r="A1115" s="78">
        <v>1111.0</v>
      </c>
      <c r="B1115" s="146">
        <v>46056.0</v>
      </c>
      <c r="C1115" s="164">
        <v>70.0</v>
      </c>
      <c r="D1115" s="164">
        <v>43.0</v>
      </c>
      <c r="E1115" s="164" t="s">
        <v>323</v>
      </c>
      <c r="F1115" s="164" t="s">
        <v>324</v>
      </c>
      <c r="G1115" s="146">
        <v>46056.0</v>
      </c>
      <c r="H1115" s="159" t="s">
        <v>69</v>
      </c>
      <c r="I1115" s="164"/>
    </row>
    <row r="1116" ht="15.75" customHeight="1">
      <c r="A1116" s="78">
        <v>1112.0</v>
      </c>
      <c r="B1116" s="146">
        <v>46056.0</v>
      </c>
      <c r="C1116" s="164">
        <v>108.0</v>
      </c>
      <c r="D1116" s="164">
        <v>138.0</v>
      </c>
      <c r="E1116" s="164" t="s">
        <v>323</v>
      </c>
      <c r="F1116" s="164" t="s">
        <v>324</v>
      </c>
      <c r="G1116" s="146">
        <v>46056.0</v>
      </c>
      <c r="H1116" s="159" t="s">
        <v>69</v>
      </c>
      <c r="I1116" s="164"/>
    </row>
    <row r="1117" ht="15.75" customHeight="1">
      <c r="A1117" s="78">
        <v>1113.0</v>
      </c>
      <c r="B1117" s="146">
        <v>46056.0</v>
      </c>
      <c r="C1117" s="164">
        <v>109.0</v>
      </c>
      <c r="D1117" s="164">
        <v>39.0</v>
      </c>
      <c r="E1117" s="164" t="s">
        <v>323</v>
      </c>
      <c r="F1117" s="164" t="s">
        <v>324</v>
      </c>
      <c r="G1117" s="146">
        <v>46056.0</v>
      </c>
      <c r="H1117" s="159" t="s">
        <v>69</v>
      </c>
      <c r="I1117" s="164"/>
    </row>
    <row r="1118" ht="15.75" customHeight="1">
      <c r="A1118" s="78">
        <v>1114.0</v>
      </c>
      <c r="B1118" s="146">
        <v>46056.0</v>
      </c>
      <c r="C1118" s="164">
        <v>123.0</v>
      </c>
      <c r="D1118" s="164">
        <v>135.0</v>
      </c>
      <c r="E1118" s="164" t="s">
        <v>323</v>
      </c>
      <c r="F1118" s="164" t="s">
        <v>324</v>
      </c>
      <c r="G1118" s="146">
        <v>46056.0</v>
      </c>
      <c r="H1118" s="159" t="s">
        <v>69</v>
      </c>
      <c r="I1118" s="164"/>
    </row>
    <row r="1119" ht="15.75" customHeight="1">
      <c r="A1119" s="78">
        <v>1115.0</v>
      </c>
      <c r="B1119" s="146">
        <v>46057.0</v>
      </c>
      <c r="C1119" s="164">
        <v>2.0</v>
      </c>
      <c r="D1119" s="164">
        <v>11.0</v>
      </c>
      <c r="E1119" s="164" t="s">
        <v>323</v>
      </c>
      <c r="F1119" s="164" t="s">
        <v>324</v>
      </c>
      <c r="G1119" s="146">
        <v>46057.0</v>
      </c>
      <c r="H1119" s="159" t="s">
        <v>69</v>
      </c>
      <c r="I1119" s="164"/>
    </row>
    <row r="1120" ht="15.75" customHeight="1">
      <c r="A1120" s="78">
        <v>1116.0</v>
      </c>
      <c r="B1120" s="146">
        <v>46057.0</v>
      </c>
      <c r="C1120" s="164">
        <v>21.0</v>
      </c>
      <c r="D1120" s="164">
        <v>29.0</v>
      </c>
      <c r="E1120" s="164" t="s">
        <v>323</v>
      </c>
      <c r="F1120" s="164" t="s">
        <v>324</v>
      </c>
      <c r="G1120" s="146">
        <v>46057.0</v>
      </c>
      <c r="H1120" s="159" t="s">
        <v>69</v>
      </c>
      <c r="I1120" s="164"/>
    </row>
    <row r="1121" ht="15.75" customHeight="1">
      <c r="A1121" s="78">
        <v>1117.0</v>
      </c>
      <c r="B1121" s="146">
        <v>46057.0</v>
      </c>
      <c r="C1121" s="164">
        <v>42.0</v>
      </c>
      <c r="D1121" s="164">
        <v>30.0</v>
      </c>
      <c r="E1121" s="164" t="s">
        <v>323</v>
      </c>
      <c r="F1121" s="164" t="s">
        <v>324</v>
      </c>
      <c r="G1121" s="146">
        <v>46057.0</v>
      </c>
      <c r="H1121" s="159" t="s">
        <v>69</v>
      </c>
      <c r="I1121" s="164"/>
    </row>
    <row r="1122" ht="15.75" customHeight="1">
      <c r="A1122" s="78">
        <v>1118.0</v>
      </c>
      <c r="B1122" s="146">
        <v>46057.0</v>
      </c>
      <c r="C1122" s="164">
        <v>42.0</v>
      </c>
      <c r="D1122" s="164">
        <v>31.0</v>
      </c>
      <c r="E1122" s="164" t="s">
        <v>323</v>
      </c>
      <c r="F1122" s="164" t="s">
        <v>324</v>
      </c>
      <c r="G1122" s="146">
        <v>46057.0</v>
      </c>
      <c r="H1122" s="159" t="s">
        <v>69</v>
      </c>
      <c r="I1122" s="164"/>
    </row>
    <row r="1123" ht="15.75" customHeight="1">
      <c r="A1123" s="78">
        <v>1119.0</v>
      </c>
      <c r="B1123" s="146">
        <v>46057.0</v>
      </c>
      <c r="C1123" s="164">
        <v>50.0</v>
      </c>
      <c r="D1123" s="164">
        <v>24.0</v>
      </c>
      <c r="E1123" s="164" t="s">
        <v>323</v>
      </c>
      <c r="F1123" s="164" t="s">
        <v>324</v>
      </c>
      <c r="G1123" s="146">
        <v>46057.0</v>
      </c>
      <c r="H1123" s="159" t="s">
        <v>69</v>
      </c>
      <c r="I1123" s="164"/>
    </row>
    <row r="1124" ht="15.75" customHeight="1">
      <c r="A1124" s="78">
        <v>1120.0</v>
      </c>
      <c r="B1124" s="146">
        <v>46057.0</v>
      </c>
      <c r="C1124" s="164">
        <v>50.0</v>
      </c>
      <c r="D1124" s="164">
        <v>36.0</v>
      </c>
      <c r="E1124" s="164" t="s">
        <v>323</v>
      </c>
      <c r="F1124" s="164" t="s">
        <v>324</v>
      </c>
      <c r="G1124" s="146">
        <v>46057.0</v>
      </c>
      <c r="H1124" s="159" t="s">
        <v>69</v>
      </c>
      <c r="I1124" s="164"/>
    </row>
    <row r="1125" ht="15.75" customHeight="1">
      <c r="A1125" s="78">
        <v>1121.0</v>
      </c>
      <c r="B1125" s="146">
        <v>46057.0</v>
      </c>
      <c r="C1125" s="164">
        <v>54.0</v>
      </c>
      <c r="D1125" s="164">
        <v>112.0</v>
      </c>
      <c r="E1125" s="164" t="s">
        <v>323</v>
      </c>
      <c r="F1125" s="164" t="s">
        <v>324</v>
      </c>
      <c r="G1125" s="146">
        <v>46057.0</v>
      </c>
      <c r="H1125" s="159" t="s">
        <v>69</v>
      </c>
      <c r="I1125" s="164"/>
    </row>
    <row r="1126" ht="15.75" customHeight="1">
      <c r="A1126" s="78">
        <v>1122.0</v>
      </c>
      <c r="B1126" s="146">
        <v>46057.0</v>
      </c>
      <c r="C1126" s="164">
        <v>62.0</v>
      </c>
      <c r="D1126" s="164">
        <v>80.0</v>
      </c>
      <c r="E1126" s="164" t="s">
        <v>323</v>
      </c>
      <c r="F1126" s="164" t="s">
        <v>324</v>
      </c>
      <c r="G1126" s="146">
        <v>46057.0</v>
      </c>
      <c r="H1126" s="159" t="s">
        <v>69</v>
      </c>
      <c r="I1126" s="164"/>
    </row>
    <row r="1127" ht="15.75" customHeight="1">
      <c r="A1127" s="78">
        <v>1123.0</v>
      </c>
      <c r="B1127" s="146">
        <v>46057.0</v>
      </c>
      <c r="C1127" s="164">
        <v>66.0</v>
      </c>
      <c r="D1127" s="164">
        <v>25.0</v>
      </c>
      <c r="E1127" s="164" t="s">
        <v>323</v>
      </c>
      <c r="F1127" s="164" t="s">
        <v>324</v>
      </c>
      <c r="G1127" s="146">
        <v>46057.0</v>
      </c>
      <c r="H1127" s="159" t="s">
        <v>69</v>
      </c>
      <c r="I1127" s="164"/>
    </row>
    <row r="1128" ht="15.75" customHeight="1">
      <c r="A1128" s="78">
        <v>1124.0</v>
      </c>
      <c r="B1128" s="146">
        <v>46057.0</v>
      </c>
      <c r="C1128" s="164">
        <v>66.0</v>
      </c>
      <c r="D1128" s="164">
        <v>112.0</v>
      </c>
      <c r="E1128" s="164" t="s">
        <v>323</v>
      </c>
      <c r="F1128" s="164" t="s">
        <v>324</v>
      </c>
      <c r="G1128" s="146">
        <v>46057.0</v>
      </c>
      <c r="H1128" s="159" t="s">
        <v>69</v>
      </c>
      <c r="I1128" s="164"/>
    </row>
    <row r="1129" ht="15.75" customHeight="1">
      <c r="A1129" s="78">
        <v>1125.0</v>
      </c>
      <c r="B1129" s="146">
        <v>46057.0</v>
      </c>
      <c r="C1129" s="164">
        <v>74.0</v>
      </c>
      <c r="D1129" s="164">
        <v>12.0</v>
      </c>
      <c r="E1129" s="164" t="s">
        <v>323</v>
      </c>
      <c r="F1129" s="164" t="s">
        <v>324</v>
      </c>
      <c r="G1129" s="146">
        <v>46057.0</v>
      </c>
      <c r="H1129" s="159" t="s">
        <v>69</v>
      </c>
      <c r="I1129" s="164"/>
    </row>
    <row r="1130" ht="15.75" customHeight="1">
      <c r="A1130" s="78">
        <v>1126.0</v>
      </c>
      <c r="B1130" s="146">
        <v>46057.0</v>
      </c>
      <c r="C1130" s="164">
        <v>75.0</v>
      </c>
      <c r="D1130" s="164">
        <v>76.0</v>
      </c>
      <c r="E1130" s="164" t="s">
        <v>323</v>
      </c>
      <c r="F1130" s="164" t="s">
        <v>324</v>
      </c>
      <c r="G1130" s="146">
        <v>46057.0</v>
      </c>
      <c r="H1130" s="159" t="s">
        <v>69</v>
      </c>
      <c r="I1130" s="164"/>
    </row>
    <row r="1131" ht="15.75" customHeight="1">
      <c r="A1131" s="78">
        <v>1127.0</v>
      </c>
      <c r="B1131" s="146">
        <v>46057.0</v>
      </c>
      <c r="C1131" s="164">
        <v>95.0</v>
      </c>
      <c r="D1131" s="164">
        <v>3.0</v>
      </c>
      <c r="E1131" s="164" t="s">
        <v>323</v>
      </c>
      <c r="F1131" s="164" t="s">
        <v>324</v>
      </c>
      <c r="G1131" s="146">
        <v>46057.0</v>
      </c>
      <c r="H1131" s="159" t="s">
        <v>69</v>
      </c>
      <c r="I1131" s="164"/>
    </row>
    <row r="1132" ht="15.75" customHeight="1">
      <c r="A1132" s="78">
        <v>1128.0</v>
      </c>
      <c r="B1132" s="146">
        <v>46057.0</v>
      </c>
      <c r="C1132" s="164">
        <v>99.0</v>
      </c>
      <c r="D1132" s="164">
        <v>115.0</v>
      </c>
      <c r="E1132" s="164" t="s">
        <v>323</v>
      </c>
      <c r="F1132" s="164" t="s">
        <v>324</v>
      </c>
      <c r="G1132" s="146">
        <v>46057.0</v>
      </c>
      <c r="H1132" s="159" t="s">
        <v>69</v>
      </c>
      <c r="I1132" s="164"/>
    </row>
    <row r="1133" ht="15.75" customHeight="1">
      <c r="A1133" s="78">
        <v>1129.0</v>
      </c>
      <c r="B1133" s="146">
        <v>46057.0</v>
      </c>
      <c r="C1133" s="164">
        <v>99.0</v>
      </c>
      <c r="D1133" s="164">
        <v>136.0</v>
      </c>
      <c r="E1133" s="164" t="s">
        <v>323</v>
      </c>
      <c r="F1133" s="164" t="s">
        <v>324</v>
      </c>
      <c r="G1133" s="146">
        <v>46057.0</v>
      </c>
      <c r="H1133" s="159" t="s">
        <v>69</v>
      </c>
      <c r="I1133" s="164"/>
    </row>
    <row r="1134" ht="15.75" customHeight="1">
      <c r="A1134" s="78">
        <v>1130.0</v>
      </c>
      <c r="B1134" s="146">
        <v>46057.0</v>
      </c>
      <c r="C1134" s="164">
        <v>100.0</v>
      </c>
      <c r="D1134" s="164">
        <v>123.0</v>
      </c>
      <c r="E1134" s="164" t="s">
        <v>323</v>
      </c>
      <c r="F1134" s="164" t="s">
        <v>324</v>
      </c>
      <c r="G1134" s="146">
        <v>46057.0</v>
      </c>
      <c r="H1134" s="159" t="s">
        <v>69</v>
      </c>
      <c r="I1134" s="164"/>
    </row>
    <row r="1135" ht="15.75" customHeight="1">
      <c r="A1135" s="78">
        <v>1131.0</v>
      </c>
      <c r="B1135" s="146">
        <v>46057.0</v>
      </c>
      <c r="C1135" s="164">
        <v>101.0</v>
      </c>
      <c r="D1135" s="164">
        <v>42.0</v>
      </c>
      <c r="E1135" s="164" t="s">
        <v>323</v>
      </c>
      <c r="F1135" s="164" t="s">
        <v>324</v>
      </c>
      <c r="G1135" s="146">
        <v>46057.0</v>
      </c>
      <c r="H1135" s="159" t="s">
        <v>69</v>
      </c>
      <c r="I1135" s="164"/>
    </row>
    <row r="1136" ht="15.75" customHeight="1">
      <c r="A1136" s="78">
        <v>1132.0</v>
      </c>
      <c r="B1136" s="146">
        <v>46057.0</v>
      </c>
      <c r="C1136" s="164">
        <v>101.0</v>
      </c>
      <c r="D1136" s="164">
        <v>105.0</v>
      </c>
      <c r="E1136" s="164" t="s">
        <v>323</v>
      </c>
      <c r="F1136" s="164" t="s">
        <v>324</v>
      </c>
      <c r="G1136" s="146">
        <v>46057.0</v>
      </c>
      <c r="H1136" s="159" t="s">
        <v>69</v>
      </c>
      <c r="I1136" s="164"/>
    </row>
    <row r="1137" ht="15.75" customHeight="1">
      <c r="A1137" s="78">
        <v>1133.0</v>
      </c>
      <c r="B1137" s="146">
        <v>46057.0</v>
      </c>
      <c r="C1137" s="164">
        <v>104.0</v>
      </c>
      <c r="D1137" s="164">
        <v>9.0</v>
      </c>
      <c r="E1137" s="164" t="s">
        <v>323</v>
      </c>
      <c r="F1137" s="164" t="s">
        <v>324</v>
      </c>
      <c r="G1137" s="146">
        <v>46057.0</v>
      </c>
      <c r="H1137" s="159" t="s">
        <v>69</v>
      </c>
      <c r="I1137" s="164"/>
    </row>
    <row r="1138" ht="15.75" customHeight="1">
      <c r="A1138" s="78">
        <v>1134.0</v>
      </c>
      <c r="B1138" s="146">
        <v>46057.0</v>
      </c>
      <c r="C1138" s="164">
        <v>110.0</v>
      </c>
      <c r="D1138" s="164">
        <v>101.0</v>
      </c>
      <c r="E1138" s="164" t="s">
        <v>322</v>
      </c>
      <c r="F1138" s="164" t="s">
        <v>312</v>
      </c>
      <c r="G1138" s="146">
        <v>46057.0</v>
      </c>
      <c r="H1138" s="159" t="s">
        <v>69</v>
      </c>
      <c r="I1138" s="164"/>
    </row>
    <row r="1139" ht="15.75" customHeight="1">
      <c r="A1139" s="78">
        <v>1135.0</v>
      </c>
      <c r="B1139" s="146">
        <v>46057.0</v>
      </c>
      <c r="C1139" s="164">
        <v>110.0</v>
      </c>
      <c r="D1139" s="164">
        <v>105.0</v>
      </c>
      <c r="E1139" s="164" t="s">
        <v>322</v>
      </c>
      <c r="F1139" s="164" t="s">
        <v>312</v>
      </c>
      <c r="G1139" s="146">
        <v>46057.0</v>
      </c>
      <c r="H1139" s="159" t="s">
        <v>69</v>
      </c>
      <c r="I1139" s="164"/>
    </row>
    <row r="1140" ht="15.75" customHeight="1">
      <c r="A1140" s="78">
        <v>1136.0</v>
      </c>
      <c r="B1140" s="146">
        <v>46057.0</v>
      </c>
      <c r="C1140" s="164">
        <v>112.0</v>
      </c>
      <c r="D1140" s="164">
        <v>89.0</v>
      </c>
      <c r="E1140" s="164" t="s">
        <v>323</v>
      </c>
      <c r="F1140" s="164" t="s">
        <v>324</v>
      </c>
      <c r="G1140" s="146">
        <v>46057.0</v>
      </c>
      <c r="H1140" s="159" t="s">
        <v>69</v>
      </c>
      <c r="I1140" s="164"/>
    </row>
    <row r="1141" ht="15.75" customHeight="1">
      <c r="A1141" s="78">
        <v>1137.0</v>
      </c>
      <c r="B1141" s="146">
        <v>46057.0</v>
      </c>
      <c r="C1141" s="164">
        <v>114.0</v>
      </c>
      <c r="D1141" s="164">
        <v>120.0</v>
      </c>
      <c r="E1141" s="164" t="s">
        <v>323</v>
      </c>
      <c r="F1141" s="164" t="s">
        <v>324</v>
      </c>
      <c r="G1141" s="146">
        <v>46057.0</v>
      </c>
      <c r="H1141" s="159" t="s">
        <v>69</v>
      </c>
      <c r="I1141" s="164"/>
    </row>
    <row r="1142" ht="15.75" customHeight="1">
      <c r="A1142" s="78">
        <v>1138.0</v>
      </c>
      <c r="B1142" s="146">
        <v>46057.0</v>
      </c>
      <c r="C1142" s="164">
        <v>128.0</v>
      </c>
      <c r="D1142" s="164">
        <v>124.0</v>
      </c>
      <c r="E1142" s="164" t="s">
        <v>323</v>
      </c>
      <c r="F1142" s="164" t="s">
        <v>324</v>
      </c>
      <c r="G1142" s="146">
        <v>46057.0</v>
      </c>
      <c r="H1142" s="159" t="s">
        <v>69</v>
      </c>
      <c r="I1142" s="164"/>
    </row>
    <row r="1143" ht="15.75" customHeight="1">
      <c r="A1143" s="78">
        <v>1139.0</v>
      </c>
      <c r="B1143" s="146">
        <v>46058.0</v>
      </c>
      <c r="C1143" s="164">
        <v>14.0</v>
      </c>
      <c r="D1143" s="164">
        <v>107.0</v>
      </c>
      <c r="E1143" s="164" t="s">
        <v>322</v>
      </c>
      <c r="F1143" s="164" t="s">
        <v>314</v>
      </c>
      <c r="G1143" s="146">
        <v>46061.0</v>
      </c>
      <c r="H1143" s="159" t="s">
        <v>69</v>
      </c>
      <c r="I1143" s="164" t="s">
        <v>333</v>
      </c>
    </row>
    <row r="1144" ht="15.75" customHeight="1">
      <c r="A1144" s="78">
        <v>1140.0</v>
      </c>
      <c r="B1144" s="146">
        <v>46058.0</v>
      </c>
      <c r="C1144" s="164">
        <v>42.0</v>
      </c>
      <c r="D1144" s="164">
        <v>31.0</v>
      </c>
      <c r="E1144" s="164" t="s">
        <v>323</v>
      </c>
      <c r="F1144" s="164" t="s">
        <v>324</v>
      </c>
      <c r="G1144" s="146">
        <v>46058.0</v>
      </c>
      <c r="H1144" s="159" t="s">
        <v>69</v>
      </c>
      <c r="I1144" s="164"/>
    </row>
    <row r="1145" ht="15.75" customHeight="1">
      <c r="A1145" s="78">
        <v>1141.0</v>
      </c>
      <c r="B1145" s="146">
        <v>46058.0</v>
      </c>
      <c r="C1145" s="164">
        <v>42.0</v>
      </c>
      <c r="D1145" s="164">
        <v>70.0</v>
      </c>
      <c r="E1145" s="164" t="s">
        <v>313</v>
      </c>
      <c r="F1145" s="164" t="s">
        <v>324</v>
      </c>
      <c r="G1145" s="146">
        <v>46058.0</v>
      </c>
      <c r="H1145" s="159" t="s">
        <v>69</v>
      </c>
      <c r="I1145" s="164"/>
    </row>
    <row r="1146" ht="15.75" customHeight="1">
      <c r="A1146" s="78">
        <v>1142.0</v>
      </c>
      <c r="B1146" s="146">
        <v>46058.0</v>
      </c>
      <c r="C1146" s="164">
        <v>46.0</v>
      </c>
      <c r="D1146" s="164">
        <v>107.0</v>
      </c>
      <c r="E1146" s="164" t="s">
        <v>323</v>
      </c>
      <c r="F1146" s="164" t="s">
        <v>324</v>
      </c>
      <c r="G1146" s="146">
        <v>46058.0</v>
      </c>
      <c r="H1146" s="159" t="s">
        <v>69</v>
      </c>
      <c r="I1146" s="164"/>
    </row>
    <row r="1147" ht="15.75" customHeight="1">
      <c r="A1147" s="78">
        <v>1143.0</v>
      </c>
      <c r="B1147" s="146">
        <v>46058.0</v>
      </c>
      <c r="C1147" s="164">
        <v>53.0</v>
      </c>
      <c r="D1147" s="164">
        <v>119.0</v>
      </c>
      <c r="E1147" s="164" t="s">
        <v>335</v>
      </c>
      <c r="F1147" s="164" t="s">
        <v>314</v>
      </c>
      <c r="G1147" s="146">
        <v>46061.0</v>
      </c>
      <c r="H1147" s="159" t="s">
        <v>69</v>
      </c>
      <c r="I1147" s="164" t="s">
        <v>333</v>
      </c>
    </row>
    <row r="1148" ht="15.75" customHeight="1">
      <c r="A1148" s="78">
        <v>1144.0</v>
      </c>
      <c r="B1148" s="146">
        <v>46058.0</v>
      </c>
      <c r="C1148" s="164">
        <v>62.0</v>
      </c>
      <c r="D1148" s="164">
        <v>80.0</v>
      </c>
      <c r="E1148" s="164" t="s">
        <v>323</v>
      </c>
      <c r="F1148" s="164" t="s">
        <v>324</v>
      </c>
      <c r="G1148" s="146">
        <v>46058.0</v>
      </c>
      <c r="H1148" s="159" t="s">
        <v>69</v>
      </c>
      <c r="I1148" s="164"/>
    </row>
    <row r="1149" ht="15.75" customHeight="1">
      <c r="A1149" s="78">
        <v>1145.0</v>
      </c>
      <c r="B1149" s="146">
        <v>46058.0</v>
      </c>
      <c r="C1149" s="164">
        <v>70.0</v>
      </c>
      <c r="D1149" s="164">
        <v>43.0</v>
      </c>
      <c r="E1149" s="164" t="s">
        <v>323</v>
      </c>
      <c r="F1149" s="164" t="s">
        <v>324</v>
      </c>
      <c r="G1149" s="146">
        <v>46058.0</v>
      </c>
      <c r="H1149" s="159" t="s">
        <v>69</v>
      </c>
      <c r="I1149" s="164"/>
    </row>
    <row r="1150" ht="15.75" customHeight="1">
      <c r="A1150" s="78">
        <v>1146.0</v>
      </c>
      <c r="B1150" s="146">
        <v>46058.0</v>
      </c>
      <c r="C1150" s="164">
        <v>80.0</v>
      </c>
      <c r="D1150" s="164">
        <v>80.0</v>
      </c>
      <c r="E1150" s="164" t="s">
        <v>323</v>
      </c>
      <c r="F1150" s="164" t="s">
        <v>324</v>
      </c>
      <c r="G1150" s="146">
        <v>46058.0</v>
      </c>
      <c r="H1150" s="159" t="s">
        <v>69</v>
      </c>
      <c r="I1150" s="164"/>
    </row>
    <row r="1151" ht="15.75" customHeight="1">
      <c r="A1151" s="78">
        <v>1147.0</v>
      </c>
      <c r="B1151" s="146">
        <v>46058.0</v>
      </c>
      <c r="C1151" s="164">
        <v>94.0</v>
      </c>
      <c r="D1151" s="164">
        <v>125.0</v>
      </c>
      <c r="E1151" s="164" t="s">
        <v>323</v>
      </c>
      <c r="F1151" s="164" t="s">
        <v>324</v>
      </c>
      <c r="G1151" s="146">
        <v>46058.0</v>
      </c>
      <c r="H1151" s="159" t="s">
        <v>69</v>
      </c>
      <c r="I1151" s="164"/>
    </row>
    <row r="1152" ht="15.75" customHeight="1">
      <c r="A1152" s="78">
        <v>1148.0</v>
      </c>
      <c r="B1152" s="146">
        <v>46058.0</v>
      </c>
      <c r="C1152" s="164">
        <v>114.0</v>
      </c>
      <c r="D1152" s="164">
        <v>102.0</v>
      </c>
      <c r="E1152" s="164" t="s">
        <v>323</v>
      </c>
      <c r="F1152" s="164" t="s">
        <v>324</v>
      </c>
      <c r="G1152" s="146">
        <v>46058.0</v>
      </c>
      <c r="H1152" s="159" t="s">
        <v>69</v>
      </c>
      <c r="I1152" s="164"/>
    </row>
    <row r="1153" ht="15.75" customHeight="1">
      <c r="A1153" s="78">
        <v>1149.0</v>
      </c>
      <c r="B1153" s="146">
        <v>46058.0</v>
      </c>
      <c r="C1153" s="164">
        <v>123.0</v>
      </c>
      <c r="D1153" s="164">
        <v>71.0</v>
      </c>
      <c r="E1153" s="164" t="s">
        <v>323</v>
      </c>
      <c r="F1153" s="164" t="s">
        <v>324</v>
      </c>
      <c r="G1153" s="146">
        <v>46058.0</v>
      </c>
      <c r="H1153" s="159" t="s">
        <v>69</v>
      </c>
      <c r="I1153" s="164"/>
    </row>
    <row r="1154" ht="15.75" customHeight="1">
      <c r="A1154" s="78">
        <v>1150.0</v>
      </c>
      <c r="B1154" s="146">
        <v>46059.0</v>
      </c>
      <c r="C1154" s="164">
        <v>13.0</v>
      </c>
      <c r="D1154" s="164">
        <v>76.0</v>
      </c>
      <c r="E1154" s="164" t="s">
        <v>310</v>
      </c>
      <c r="F1154" s="164" t="s">
        <v>314</v>
      </c>
      <c r="G1154" s="146">
        <v>46061.0</v>
      </c>
      <c r="H1154" s="159" t="s">
        <v>69</v>
      </c>
      <c r="I1154" s="164" t="s">
        <v>391</v>
      </c>
    </row>
    <row r="1155" ht="15.75" customHeight="1">
      <c r="A1155" s="78">
        <v>1151.0</v>
      </c>
      <c r="B1155" s="146">
        <v>46059.0</v>
      </c>
      <c r="C1155" s="164">
        <v>46.0</v>
      </c>
      <c r="D1155" s="164">
        <v>13.0</v>
      </c>
      <c r="E1155" s="164" t="s">
        <v>322</v>
      </c>
      <c r="F1155" s="164" t="s">
        <v>312</v>
      </c>
      <c r="G1155" s="146">
        <v>46060.0</v>
      </c>
      <c r="H1155" s="159" t="s">
        <v>69</v>
      </c>
      <c r="I1155" s="164"/>
    </row>
    <row r="1156" ht="15.75" customHeight="1">
      <c r="A1156" s="78">
        <v>1152.0</v>
      </c>
      <c r="B1156" s="146">
        <v>46059.0</v>
      </c>
      <c r="C1156" s="164">
        <v>62.0</v>
      </c>
      <c r="D1156" s="164">
        <v>80.0</v>
      </c>
      <c r="E1156" s="164" t="s">
        <v>323</v>
      </c>
      <c r="F1156" s="164" t="s">
        <v>324</v>
      </c>
      <c r="G1156" s="146">
        <v>46059.0</v>
      </c>
      <c r="H1156" s="159" t="s">
        <v>69</v>
      </c>
      <c r="I1156" s="164"/>
    </row>
    <row r="1157" ht="15.75" customHeight="1">
      <c r="A1157" s="78">
        <v>1153.0</v>
      </c>
      <c r="B1157" s="146">
        <v>46059.0</v>
      </c>
      <c r="C1157" s="164">
        <v>109.0</v>
      </c>
      <c r="D1157" s="164">
        <v>39.0</v>
      </c>
      <c r="E1157" s="164" t="s">
        <v>323</v>
      </c>
      <c r="F1157" s="164" t="s">
        <v>324</v>
      </c>
      <c r="G1157" s="146">
        <v>46059.0</v>
      </c>
      <c r="H1157" s="159" t="s">
        <v>69</v>
      </c>
      <c r="I1157" s="164"/>
    </row>
    <row r="1158" ht="15.75" customHeight="1">
      <c r="A1158" s="78">
        <v>1154.0</v>
      </c>
      <c r="B1158" s="146">
        <v>46060.0</v>
      </c>
      <c r="C1158" s="164">
        <v>9.0</v>
      </c>
      <c r="D1158" s="164">
        <v>126.0</v>
      </c>
      <c r="E1158" s="164" t="s">
        <v>335</v>
      </c>
      <c r="F1158" s="164" t="s">
        <v>324</v>
      </c>
      <c r="G1158" s="146">
        <v>46060.0</v>
      </c>
      <c r="H1158" s="159" t="s">
        <v>69</v>
      </c>
      <c r="I1158" s="164"/>
    </row>
    <row r="1159" ht="15.75" customHeight="1">
      <c r="A1159" s="78">
        <v>1155.0</v>
      </c>
      <c r="B1159" s="146">
        <v>46060.0</v>
      </c>
      <c r="C1159" s="164">
        <v>9.0</v>
      </c>
      <c r="D1159" s="164">
        <v>132.0</v>
      </c>
      <c r="E1159" s="164" t="s">
        <v>335</v>
      </c>
      <c r="F1159" s="164" t="s">
        <v>324</v>
      </c>
      <c r="G1159" s="146">
        <v>46060.0</v>
      </c>
      <c r="H1159" s="159" t="s">
        <v>69</v>
      </c>
      <c r="I1159" s="164"/>
    </row>
    <row r="1160" ht="15.75" customHeight="1">
      <c r="A1160" s="78">
        <v>1156.0</v>
      </c>
      <c r="B1160" s="146">
        <v>46060.0</v>
      </c>
      <c r="C1160" s="164">
        <v>50.0</v>
      </c>
      <c r="D1160" s="164">
        <v>62.0</v>
      </c>
      <c r="E1160" s="164" t="s">
        <v>322</v>
      </c>
      <c r="F1160" s="164" t="s">
        <v>314</v>
      </c>
      <c r="G1160" s="146">
        <v>46068.0</v>
      </c>
      <c r="H1160" s="159" t="s">
        <v>69</v>
      </c>
      <c r="I1160" s="164" t="s">
        <v>392</v>
      </c>
    </row>
    <row r="1161" ht="15.75" customHeight="1">
      <c r="A1161" s="78">
        <v>1157.0</v>
      </c>
      <c r="B1161" s="146">
        <v>46060.0</v>
      </c>
      <c r="C1161" s="164">
        <v>58.0</v>
      </c>
      <c r="D1161" s="164">
        <v>93.0</v>
      </c>
      <c r="E1161" s="164" t="s">
        <v>335</v>
      </c>
      <c r="F1161" s="164" t="s">
        <v>314</v>
      </c>
      <c r="G1161" s="146">
        <v>46061.0</v>
      </c>
      <c r="H1161" s="159" t="s">
        <v>69</v>
      </c>
      <c r="I1161" s="164" t="s">
        <v>333</v>
      </c>
    </row>
    <row r="1162" ht="15.75" customHeight="1">
      <c r="A1162" s="78">
        <v>1158.0</v>
      </c>
      <c r="B1162" s="146">
        <v>46060.0</v>
      </c>
      <c r="C1162" s="164">
        <v>62.0</v>
      </c>
      <c r="D1162" s="164">
        <v>80.0</v>
      </c>
      <c r="E1162" s="164" t="s">
        <v>323</v>
      </c>
      <c r="F1162" s="164" t="s">
        <v>324</v>
      </c>
      <c r="G1162" s="146">
        <v>46060.0</v>
      </c>
      <c r="H1162" s="159" t="s">
        <v>69</v>
      </c>
      <c r="I1162" s="164"/>
    </row>
    <row r="1163" ht="15.75" customHeight="1">
      <c r="A1163" s="78">
        <v>1159.0</v>
      </c>
      <c r="B1163" s="146">
        <v>46060.0</v>
      </c>
      <c r="C1163" s="164">
        <v>109.0</v>
      </c>
      <c r="D1163" s="164">
        <v>39.0</v>
      </c>
      <c r="E1163" s="164" t="s">
        <v>323</v>
      </c>
      <c r="F1163" s="164" t="s">
        <v>324</v>
      </c>
      <c r="G1163" s="146">
        <v>46060.0</v>
      </c>
      <c r="H1163" s="159" t="s">
        <v>69</v>
      </c>
      <c r="I1163" s="164"/>
    </row>
    <row r="1164" ht="15.75" customHeight="1">
      <c r="A1164" s="78">
        <v>1160.0</v>
      </c>
      <c r="B1164" s="146">
        <v>46060.0</v>
      </c>
      <c r="C1164" s="164">
        <v>129.0</v>
      </c>
      <c r="D1164" s="164">
        <v>54.0</v>
      </c>
      <c r="E1164" s="164" t="s">
        <v>310</v>
      </c>
      <c r="F1164" s="164" t="s">
        <v>314</v>
      </c>
      <c r="G1164" s="146">
        <v>46061.0</v>
      </c>
      <c r="H1164" s="159" t="s">
        <v>69</v>
      </c>
      <c r="I1164" s="164" t="s">
        <v>333</v>
      </c>
    </row>
    <row r="1165" ht="15.75" customHeight="1">
      <c r="A1165" s="78">
        <v>1161.0</v>
      </c>
      <c r="B1165" s="146">
        <v>46061.0</v>
      </c>
      <c r="C1165" s="164">
        <v>14.0</v>
      </c>
      <c r="D1165" s="164">
        <v>86.0</v>
      </c>
      <c r="E1165" s="164" t="s">
        <v>322</v>
      </c>
      <c r="F1165" s="164" t="s">
        <v>324</v>
      </c>
      <c r="G1165" s="146">
        <v>46061.0</v>
      </c>
      <c r="H1165" s="159" t="s">
        <v>69</v>
      </c>
      <c r="I1165" s="164"/>
    </row>
    <row r="1166" ht="15.75" customHeight="1">
      <c r="A1166" s="78">
        <v>1162.0</v>
      </c>
      <c r="B1166" s="146">
        <v>46061.0</v>
      </c>
      <c r="C1166" s="164">
        <v>14.0</v>
      </c>
      <c r="D1166" s="164">
        <v>88.0</v>
      </c>
      <c r="E1166" s="164" t="s">
        <v>322</v>
      </c>
      <c r="F1166" s="164" t="s">
        <v>324</v>
      </c>
      <c r="G1166" s="146">
        <v>46061.0</v>
      </c>
      <c r="H1166" s="159" t="s">
        <v>69</v>
      </c>
      <c r="I1166" s="164"/>
    </row>
    <row r="1167" ht="15.75" customHeight="1">
      <c r="A1167" s="78">
        <v>1163.0</v>
      </c>
      <c r="B1167" s="146">
        <v>46061.0</v>
      </c>
      <c r="C1167" s="164">
        <v>43.0</v>
      </c>
      <c r="D1167" s="164">
        <v>18.0</v>
      </c>
      <c r="E1167" s="164" t="s">
        <v>335</v>
      </c>
      <c r="F1167" s="164" t="s">
        <v>324</v>
      </c>
      <c r="G1167" s="146">
        <v>46061.0</v>
      </c>
      <c r="H1167" s="159" t="s">
        <v>69</v>
      </c>
      <c r="I1167" s="164"/>
    </row>
    <row r="1168" ht="15.75" customHeight="1">
      <c r="A1168" s="78">
        <v>1164.0</v>
      </c>
      <c r="B1168" s="146">
        <v>46061.0</v>
      </c>
      <c r="C1168" s="164">
        <v>70.0</v>
      </c>
      <c r="D1168" s="164">
        <v>9.0</v>
      </c>
      <c r="E1168" s="164" t="s">
        <v>323</v>
      </c>
      <c r="F1168" s="164" t="s">
        <v>324</v>
      </c>
      <c r="G1168" s="146">
        <v>46061.0</v>
      </c>
      <c r="H1168" s="159" t="s">
        <v>69</v>
      </c>
      <c r="I1168" s="164"/>
    </row>
    <row r="1169" ht="15.75" customHeight="1">
      <c r="A1169" s="78">
        <v>1165.0</v>
      </c>
      <c r="B1169" s="146">
        <v>46061.0</v>
      </c>
      <c r="C1169" s="164">
        <v>70.0</v>
      </c>
      <c r="D1169" s="164">
        <v>15.0</v>
      </c>
      <c r="E1169" s="164" t="s">
        <v>323</v>
      </c>
      <c r="F1169" s="164" t="s">
        <v>324</v>
      </c>
      <c r="G1169" s="146">
        <v>46061.0</v>
      </c>
      <c r="H1169" s="159" t="s">
        <v>69</v>
      </c>
      <c r="I1169" s="164"/>
    </row>
    <row r="1170" ht="15.75" customHeight="1">
      <c r="A1170" s="78">
        <v>1166.0</v>
      </c>
      <c r="B1170" s="146">
        <v>46061.0</v>
      </c>
      <c r="C1170" s="164">
        <v>95.0</v>
      </c>
      <c r="D1170" s="164">
        <v>2.0</v>
      </c>
      <c r="E1170" s="164" t="s">
        <v>323</v>
      </c>
      <c r="F1170" s="164" t="s">
        <v>324</v>
      </c>
      <c r="G1170" s="146">
        <v>46061.0</v>
      </c>
      <c r="H1170" s="159" t="s">
        <v>69</v>
      </c>
      <c r="I1170" s="164"/>
    </row>
    <row r="1171" ht="15.75" customHeight="1">
      <c r="A1171" s="78">
        <v>1167.0</v>
      </c>
      <c r="B1171" s="146">
        <v>46062.0</v>
      </c>
      <c r="C1171" s="164">
        <v>23.0</v>
      </c>
      <c r="D1171" s="164">
        <v>24.0</v>
      </c>
      <c r="E1171" s="164" t="s">
        <v>323</v>
      </c>
      <c r="F1171" s="164" t="s">
        <v>324</v>
      </c>
      <c r="G1171" s="146">
        <v>46062.0</v>
      </c>
      <c r="H1171" s="159" t="s">
        <v>69</v>
      </c>
      <c r="I1171" s="164"/>
    </row>
    <row r="1172" ht="15.75" customHeight="1">
      <c r="A1172" s="78">
        <v>1168.0</v>
      </c>
      <c r="B1172" s="146">
        <v>46062.0</v>
      </c>
      <c r="C1172" s="164">
        <v>25.0</v>
      </c>
      <c r="D1172" s="164">
        <v>112.0</v>
      </c>
      <c r="E1172" s="164" t="s">
        <v>323</v>
      </c>
      <c r="F1172" s="164" t="s">
        <v>324</v>
      </c>
      <c r="G1172" s="146">
        <v>46062.0</v>
      </c>
      <c r="H1172" s="159" t="s">
        <v>69</v>
      </c>
      <c r="I1172" s="164"/>
    </row>
    <row r="1173" ht="15.75" customHeight="1">
      <c r="A1173" s="78">
        <v>1169.0</v>
      </c>
      <c r="B1173" s="146">
        <v>46062.0</v>
      </c>
      <c r="C1173" s="164">
        <v>70.0</v>
      </c>
      <c r="D1173" s="164">
        <v>51.0</v>
      </c>
      <c r="E1173" s="164" t="s">
        <v>323</v>
      </c>
      <c r="F1173" s="164" t="s">
        <v>324</v>
      </c>
      <c r="G1173" s="146">
        <v>46062.0</v>
      </c>
      <c r="H1173" s="159" t="s">
        <v>69</v>
      </c>
      <c r="I1173" s="164"/>
    </row>
    <row r="1174" ht="15.75" customHeight="1">
      <c r="A1174" s="78">
        <v>1170.0</v>
      </c>
      <c r="B1174" s="146">
        <v>46063.0</v>
      </c>
      <c r="C1174" s="78">
        <v>2.0</v>
      </c>
      <c r="D1174" s="78">
        <v>19.0</v>
      </c>
      <c r="E1174" s="164" t="s">
        <v>310</v>
      </c>
      <c r="F1174" s="164" t="s">
        <v>324</v>
      </c>
      <c r="G1174" s="146">
        <v>46063.0</v>
      </c>
      <c r="H1174" s="159" t="s">
        <v>69</v>
      </c>
      <c r="I1174" s="164"/>
    </row>
    <row r="1175" ht="15.75" customHeight="1">
      <c r="A1175" s="78">
        <v>1171.0</v>
      </c>
      <c r="B1175" s="146">
        <v>46063.0</v>
      </c>
      <c r="C1175" s="164">
        <v>131.0</v>
      </c>
      <c r="D1175" s="164">
        <v>108.0</v>
      </c>
      <c r="E1175" s="164" t="s">
        <v>310</v>
      </c>
      <c r="F1175" s="164" t="s">
        <v>314</v>
      </c>
      <c r="G1175" s="146">
        <v>46065.0</v>
      </c>
      <c r="H1175" s="159" t="s">
        <v>69</v>
      </c>
      <c r="I1175" s="164" t="s">
        <v>393</v>
      </c>
    </row>
    <row r="1176" ht="15.75" customHeight="1">
      <c r="A1176" s="78">
        <v>1172.0</v>
      </c>
      <c r="B1176" s="146">
        <v>46064.0</v>
      </c>
      <c r="C1176" s="164">
        <v>53.0</v>
      </c>
      <c r="D1176" s="164">
        <v>65.0</v>
      </c>
      <c r="E1176" s="164" t="s">
        <v>335</v>
      </c>
      <c r="F1176" s="164" t="s">
        <v>324</v>
      </c>
      <c r="G1176" s="146">
        <v>46064.0</v>
      </c>
      <c r="H1176" s="159" t="s">
        <v>69</v>
      </c>
      <c r="I1176" s="164"/>
    </row>
    <row r="1177" ht="15.75" customHeight="1">
      <c r="A1177" s="78">
        <v>1173.0</v>
      </c>
      <c r="B1177" s="146">
        <v>46064.0</v>
      </c>
      <c r="C1177" s="164">
        <v>59.0</v>
      </c>
      <c r="D1177" s="164">
        <v>107.0</v>
      </c>
      <c r="E1177" s="164" t="s">
        <v>310</v>
      </c>
      <c r="F1177" s="78" t="s">
        <v>314</v>
      </c>
      <c r="G1177" s="146">
        <v>46065.0</v>
      </c>
      <c r="H1177" s="159" t="s">
        <v>69</v>
      </c>
      <c r="I1177" s="164" t="s">
        <v>393</v>
      </c>
    </row>
    <row r="1178" ht="15.75" customHeight="1">
      <c r="A1178" s="78">
        <v>1174.0</v>
      </c>
      <c r="B1178" s="146">
        <v>46064.0</v>
      </c>
      <c r="C1178" s="164">
        <v>69.0</v>
      </c>
      <c r="D1178" s="164">
        <v>5.0</v>
      </c>
      <c r="E1178" s="164" t="s">
        <v>337</v>
      </c>
      <c r="F1178" s="164" t="s">
        <v>324</v>
      </c>
      <c r="G1178" s="146">
        <v>46064.0</v>
      </c>
      <c r="H1178" s="159" t="s">
        <v>69</v>
      </c>
      <c r="I1178" s="164"/>
    </row>
    <row r="1179" ht="15.75" customHeight="1">
      <c r="A1179" s="78">
        <v>1175.0</v>
      </c>
      <c r="B1179" s="146">
        <v>46064.0</v>
      </c>
      <c r="C1179" s="164">
        <v>70.0</v>
      </c>
      <c r="D1179" s="164">
        <v>38.0</v>
      </c>
      <c r="E1179" s="164" t="s">
        <v>323</v>
      </c>
      <c r="F1179" s="164" t="s">
        <v>324</v>
      </c>
      <c r="G1179" s="146">
        <v>46064.0</v>
      </c>
      <c r="H1179" s="159" t="s">
        <v>69</v>
      </c>
      <c r="I1179" s="164"/>
    </row>
    <row r="1180" ht="15.75" customHeight="1">
      <c r="A1180" s="78">
        <v>1176.0</v>
      </c>
      <c r="B1180" s="146">
        <v>46064.0</v>
      </c>
      <c r="C1180" s="164">
        <v>70.0</v>
      </c>
      <c r="D1180" s="164">
        <v>53.0</v>
      </c>
      <c r="E1180" s="164" t="s">
        <v>323</v>
      </c>
      <c r="F1180" s="164" t="s">
        <v>324</v>
      </c>
      <c r="G1180" s="146">
        <v>46064.0</v>
      </c>
      <c r="H1180" s="159" t="s">
        <v>69</v>
      </c>
      <c r="I1180" s="164"/>
    </row>
    <row r="1181" ht="15.75" customHeight="1">
      <c r="A1181" s="78">
        <v>1177.0</v>
      </c>
      <c r="B1181" s="146">
        <v>46064.0</v>
      </c>
      <c r="C1181" s="164">
        <v>98.0</v>
      </c>
      <c r="D1181" s="164">
        <v>112.0</v>
      </c>
      <c r="E1181" s="164" t="s">
        <v>323</v>
      </c>
      <c r="F1181" s="164" t="s">
        <v>324</v>
      </c>
      <c r="G1181" s="146">
        <v>46064.0</v>
      </c>
      <c r="H1181" s="159" t="s">
        <v>69</v>
      </c>
      <c r="I1181" s="164"/>
    </row>
    <row r="1182" ht="15.75" customHeight="1">
      <c r="A1182" s="78">
        <v>1178.0</v>
      </c>
      <c r="B1182" s="146">
        <v>46065.0</v>
      </c>
      <c r="C1182" s="164">
        <v>62.0</v>
      </c>
      <c r="D1182" s="164">
        <v>91.0</v>
      </c>
      <c r="E1182" s="164" t="s">
        <v>310</v>
      </c>
      <c r="F1182" s="164" t="s">
        <v>314</v>
      </c>
      <c r="G1182" s="146">
        <v>46067.0</v>
      </c>
      <c r="H1182" s="159" t="s">
        <v>69</v>
      </c>
      <c r="I1182" s="164" t="s">
        <v>393</v>
      </c>
    </row>
    <row r="1183" ht="15.75" customHeight="1">
      <c r="A1183" s="78">
        <v>1179.0</v>
      </c>
      <c r="B1183" s="146">
        <v>46065.0</v>
      </c>
      <c r="C1183" s="164">
        <v>77.0</v>
      </c>
      <c r="D1183" s="164">
        <v>53.0</v>
      </c>
      <c r="E1183" s="164" t="s">
        <v>335</v>
      </c>
      <c r="F1183" s="164" t="s">
        <v>324</v>
      </c>
      <c r="G1183" s="146">
        <v>46065.0</v>
      </c>
      <c r="H1183" s="159" t="s">
        <v>69</v>
      </c>
      <c r="I1183" s="164"/>
    </row>
    <row r="1184" ht="15.75" customHeight="1">
      <c r="A1184" s="78">
        <v>1180.0</v>
      </c>
      <c r="B1184" s="146">
        <v>46065.0</v>
      </c>
      <c r="C1184" s="164">
        <v>93.0</v>
      </c>
      <c r="D1184" s="164">
        <v>66.0</v>
      </c>
      <c r="E1184" s="164" t="s">
        <v>323</v>
      </c>
      <c r="F1184" s="164" t="s">
        <v>324</v>
      </c>
      <c r="G1184" s="146">
        <v>46065.0</v>
      </c>
      <c r="H1184" s="159" t="s">
        <v>69</v>
      </c>
      <c r="I1184" s="164"/>
    </row>
    <row r="1185" ht="15.75" customHeight="1">
      <c r="A1185" s="78">
        <v>1181.0</v>
      </c>
      <c r="B1185" s="146">
        <v>46065.0</v>
      </c>
      <c r="C1185" s="164">
        <v>121.0</v>
      </c>
      <c r="D1185" s="164">
        <v>117.0</v>
      </c>
      <c r="E1185" s="164" t="s">
        <v>310</v>
      </c>
      <c r="F1185" s="164" t="s">
        <v>314</v>
      </c>
      <c r="G1185" s="146">
        <v>46067.0</v>
      </c>
      <c r="H1185" s="159" t="s">
        <v>69</v>
      </c>
      <c r="I1185" s="164" t="s">
        <v>393</v>
      </c>
    </row>
    <row r="1186" ht="15.75" customHeight="1">
      <c r="A1186" s="78">
        <v>1182.0</v>
      </c>
      <c r="B1186" s="146">
        <v>46065.0</v>
      </c>
      <c r="C1186" s="164">
        <v>126.0</v>
      </c>
      <c r="D1186" s="164">
        <v>77.0</v>
      </c>
      <c r="E1186" s="164" t="s">
        <v>310</v>
      </c>
      <c r="F1186" s="164" t="s">
        <v>314</v>
      </c>
      <c r="G1186" s="146">
        <v>46076.0</v>
      </c>
      <c r="H1186" s="159" t="s">
        <v>69</v>
      </c>
      <c r="I1186" s="164" t="s">
        <v>393</v>
      </c>
    </row>
    <row r="1187" ht="15.75" customHeight="1">
      <c r="A1187" s="78">
        <v>1183.0</v>
      </c>
      <c r="B1187" s="146">
        <v>46065.0</v>
      </c>
      <c r="C1187" s="164">
        <v>20.0</v>
      </c>
      <c r="D1187" s="164">
        <v>87.0</v>
      </c>
      <c r="E1187" s="164" t="s">
        <v>310</v>
      </c>
      <c r="F1187" s="164" t="s">
        <v>314</v>
      </c>
      <c r="G1187" s="146">
        <v>46067.0</v>
      </c>
      <c r="H1187" s="159" t="s">
        <v>69</v>
      </c>
      <c r="I1187" s="164" t="s">
        <v>393</v>
      </c>
    </row>
    <row r="1188" ht="15.75" customHeight="1">
      <c r="A1188" s="78">
        <v>1184.0</v>
      </c>
      <c r="B1188" s="146">
        <v>46067.0</v>
      </c>
      <c r="C1188" s="164">
        <v>58.0</v>
      </c>
      <c r="D1188" s="164">
        <v>76.0</v>
      </c>
      <c r="E1188" s="164" t="s">
        <v>322</v>
      </c>
      <c r="F1188" s="164" t="s">
        <v>69</v>
      </c>
      <c r="G1188" s="146">
        <v>46068.0</v>
      </c>
      <c r="H1188" s="159" t="s">
        <v>69</v>
      </c>
      <c r="I1188" s="164" t="s">
        <v>384</v>
      </c>
    </row>
    <row r="1189" ht="15.75" customHeight="1">
      <c r="A1189" s="78">
        <v>1185.0</v>
      </c>
      <c r="B1189" s="146">
        <v>46067.0</v>
      </c>
      <c r="C1189" s="164">
        <v>68.0</v>
      </c>
      <c r="D1189" s="164">
        <v>134.0</v>
      </c>
      <c r="E1189" s="164" t="s">
        <v>310</v>
      </c>
      <c r="F1189" s="164" t="s">
        <v>314</v>
      </c>
      <c r="G1189" s="146">
        <v>46068.0</v>
      </c>
      <c r="H1189" s="159" t="s">
        <v>69</v>
      </c>
      <c r="I1189" s="164" t="s">
        <v>393</v>
      </c>
    </row>
    <row r="1190" ht="15.75" customHeight="1">
      <c r="A1190" s="78">
        <v>1186.0</v>
      </c>
      <c r="B1190" s="146">
        <v>46067.0</v>
      </c>
      <c r="C1190" s="164">
        <v>73.0</v>
      </c>
      <c r="D1190" s="164">
        <v>63.0</v>
      </c>
      <c r="E1190" s="164" t="s">
        <v>323</v>
      </c>
      <c r="F1190" s="164" t="s">
        <v>324</v>
      </c>
      <c r="G1190" s="146">
        <v>46067.0</v>
      </c>
      <c r="H1190" s="159" t="s">
        <v>69</v>
      </c>
      <c r="I1190" s="164"/>
    </row>
    <row r="1191" ht="15.75" customHeight="1">
      <c r="A1191" s="78">
        <v>1187.0</v>
      </c>
      <c r="B1191" s="146">
        <v>46067.0</v>
      </c>
      <c r="C1191" s="164">
        <v>95.0</v>
      </c>
      <c r="D1191" s="164">
        <v>3.0</v>
      </c>
      <c r="E1191" s="164" t="s">
        <v>323</v>
      </c>
      <c r="F1191" s="164" t="s">
        <v>324</v>
      </c>
      <c r="G1191" s="146">
        <v>46067.0</v>
      </c>
      <c r="H1191" s="159" t="s">
        <v>69</v>
      </c>
      <c r="I1191" s="164"/>
    </row>
    <row r="1192" ht="15.75" customHeight="1">
      <c r="A1192" s="78">
        <v>1188.0</v>
      </c>
      <c r="B1192" s="146">
        <v>46067.0</v>
      </c>
      <c r="C1192" s="164">
        <v>98.0</v>
      </c>
      <c r="D1192" s="164">
        <v>112.0</v>
      </c>
      <c r="E1192" s="164" t="s">
        <v>323</v>
      </c>
      <c r="F1192" s="164" t="s">
        <v>324</v>
      </c>
      <c r="G1192" s="146">
        <v>46067.0</v>
      </c>
      <c r="H1192" s="159" t="s">
        <v>69</v>
      </c>
      <c r="I1192" s="164"/>
    </row>
    <row r="1193" ht="15.75" customHeight="1">
      <c r="A1193" s="78">
        <v>1189.0</v>
      </c>
      <c r="B1193" s="146">
        <v>46067.0</v>
      </c>
      <c r="C1193" s="164">
        <v>11.0</v>
      </c>
      <c r="D1193" s="164">
        <v>90.0</v>
      </c>
      <c r="E1193" s="164" t="s">
        <v>310</v>
      </c>
      <c r="F1193" s="164" t="s">
        <v>314</v>
      </c>
      <c r="G1193" s="146">
        <v>46068.0</v>
      </c>
      <c r="H1193" s="159" t="s">
        <v>69</v>
      </c>
      <c r="I1193" s="164" t="s">
        <v>393</v>
      </c>
    </row>
    <row r="1194" ht="15.75" customHeight="1">
      <c r="A1194" s="78">
        <v>1190.0</v>
      </c>
      <c r="B1194" s="146">
        <v>46068.0</v>
      </c>
      <c r="C1194" s="164">
        <v>14.0</v>
      </c>
      <c r="D1194" s="164">
        <v>111.0</v>
      </c>
      <c r="E1194" s="164" t="s">
        <v>322</v>
      </c>
      <c r="F1194" s="164" t="s">
        <v>324</v>
      </c>
      <c r="G1194" s="146">
        <v>46068.0</v>
      </c>
      <c r="H1194" s="159" t="s">
        <v>69</v>
      </c>
      <c r="I1194" s="164"/>
    </row>
    <row r="1195" ht="15.75" customHeight="1">
      <c r="A1195" s="78">
        <v>1191.0</v>
      </c>
      <c r="B1195" s="146">
        <v>46068.0</v>
      </c>
      <c r="C1195" s="164">
        <v>51.0</v>
      </c>
      <c r="D1195" s="164">
        <v>28.0</v>
      </c>
      <c r="E1195" s="164" t="s">
        <v>322</v>
      </c>
      <c r="F1195" s="164" t="s">
        <v>324</v>
      </c>
      <c r="G1195" s="146">
        <v>46068.0</v>
      </c>
      <c r="H1195" s="159" t="s">
        <v>69</v>
      </c>
      <c r="I1195" s="164"/>
    </row>
    <row r="1196" ht="15.75" customHeight="1">
      <c r="A1196" s="78">
        <v>1192.0</v>
      </c>
      <c r="B1196" s="146">
        <v>46068.0</v>
      </c>
      <c r="C1196" s="164">
        <v>68.0</v>
      </c>
      <c r="D1196" s="164">
        <v>98.0</v>
      </c>
      <c r="E1196" s="164" t="s">
        <v>323</v>
      </c>
      <c r="F1196" s="164" t="s">
        <v>324</v>
      </c>
      <c r="G1196" s="146">
        <v>46068.0</v>
      </c>
      <c r="H1196" s="159" t="s">
        <v>69</v>
      </c>
      <c r="I1196" s="164"/>
    </row>
    <row r="1197" ht="15.75" customHeight="1">
      <c r="A1197" s="78">
        <v>1193.0</v>
      </c>
      <c r="B1197" s="146">
        <v>46068.0</v>
      </c>
      <c r="C1197" s="164">
        <v>68.0</v>
      </c>
      <c r="D1197" s="164">
        <v>137.0</v>
      </c>
      <c r="E1197" s="164" t="s">
        <v>323</v>
      </c>
      <c r="F1197" s="164" t="s">
        <v>324</v>
      </c>
      <c r="G1197" s="146">
        <v>46068.0</v>
      </c>
      <c r="H1197" s="159" t="s">
        <v>69</v>
      </c>
      <c r="I1197" s="164"/>
    </row>
    <row r="1198" ht="15.75" customHeight="1">
      <c r="A1198" s="78">
        <v>1194.0</v>
      </c>
      <c r="B1198" s="146">
        <v>46068.0</v>
      </c>
      <c r="C1198" s="164">
        <v>1.0</v>
      </c>
      <c r="D1198" s="164">
        <v>73.0</v>
      </c>
      <c r="E1198" s="164" t="s">
        <v>337</v>
      </c>
      <c r="F1198" s="164" t="s">
        <v>324</v>
      </c>
      <c r="G1198" s="146">
        <v>46068.0</v>
      </c>
      <c r="H1198" s="159" t="s">
        <v>69</v>
      </c>
      <c r="I1198" s="164"/>
    </row>
    <row r="1199" ht="15.75" customHeight="1">
      <c r="A1199" s="78">
        <v>1195.0</v>
      </c>
      <c r="B1199" s="146">
        <v>46069.0</v>
      </c>
      <c r="C1199" s="164">
        <v>51.0</v>
      </c>
      <c r="D1199" s="164">
        <v>136.0</v>
      </c>
      <c r="E1199" s="164" t="s">
        <v>337</v>
      </c>
      <c r="F1199" s="164" t="s">
        <v>324</v>
      </c>
      <c r="G1199" s="146">
        <v>46069.0</v>
      </c>
      <c r="H1199" s="159" t="s">
        <v>69</v>
      </c>
      <c r="I1199" s="164"/>
    </row>
    <row r="1200" ht="15.75" customHeight="1">
      <c r="A1200" s="78">
        <v>1196.0</v>
      </c>
      <c r="B1200" s="146">
        <v>46069.0</v>
      </c>
      <c r="C1200" s="164">
        <v>94.0</v>
      </c>
      <c r="D1200" s="164">
        <v>50.0</v>
      </c>
      <c r="E1200" s="164" t="s">
        <v>323</v>
      </c>
      <c r="F1200" s="164" t="s">
        <v>324</v>
      </c>
      <c r="G1200" s="146">
        <v>46069.0</v>
      </c>
      <c r="H1200" s="159" t="s">
        <v>69</v>
      </c>
      <c r="I1200" s="164"/>
    </row>
    <row r="1201" ht="15.75" customHeight="1">
      <c r="A1201" s="78">
        <v>1197.0</v>
      </c>
      <c r="B1201" s="146">
        <v>46069.0</v>
      </c>
      <c r="C1201" s="164">
        <v>94.0</v>
      </c>
      <c r="D1201" s="164">
        <v>77.0</v>
      </c>
      <c r="E1201" s="164" t="s">
        <v>323</v>
      </c>
      <c r="F1201" s="164" t="s">
        <v>324</v>
      </c>
      <c r="G1201" s="146">
        <v>46069.0</v>
      </c>
      <c r="H1201" s="159" t="s">
        <v>69</v>
      </c>
      <c r="I1201" s="164"/>
    </row>
    <row r="1202" ht="15.75" customHeight="1">
      <c r="A1202" s="78">
        <v>1198.0</v>
      </c>
      <c r="B1202" s="146">
        <v>46069.0</v>
      </c>
      <c r="C1202" s="164">
        <v>16.0</v>
      </c>
      <c r="D1202" s="164">
        <v>1.0</v>
      </c>
      <c r="E1202" s="164" t="s">
        <v>310</v>
      </c>
      <c r="F1202" s="164" t="s">
        <v>314</v>
      </c>
      <c r="G1202" s="168">
        <v>46071.0</v>
      </c>
      <c r="H1202" s="159" t="s">
        <v>69</v>
      </c>
      <c r="I1202" s="164" t="s">
        <v>393</v>
      </c>
    </row>
    <row r="1203" ht="15.75" customHeight="1">
      <c r="A1203" s="78">
        <v>1199.0</v>
      </c>
      <c r="B1203" s="146">
        <v>46070.0</v>
      </c>
      <c r="C1203" s="164">
        <v>114.0</v>
      </c>
      <c r="D1203" s="164">
        <v>120.0</v>
      </c>
      <c r="E1203" s="164" t="s">
        <v>323</v>
      </c>
      <c r="F1203" s="164" t="s">
        <v>324</v>
      </c>
      <c r="G1203" s="146">
        <v>46070.0</v>
      </c>
      <c r="H1203" s="159" t="s">
        <v>69</v>
      </c>
      <c r="I1203" s="164"/>
    </row>
    <row r="1204" ht="15.75" customHeight="1">
      <c r="A1204" s="78">
        <v>1200.0</v>
      </c>
      <c r="B1204" s="146">
        <v>46070.0</v>
      </c>
      <c r="C1204" s="164">
        <v>117.0</v>
      </c>
      <c r="D1204" s="164">
        <v>4.0</v>
      </c>
      <c r="E1204" s="164" t="s">
        <v>323</v>
      </c>
      <c r="F1204" s="164" t="s">
        <v>324</v>
      </c>
      <c r="G1204" s="146">
        <v>46070.0</v>
      </c>
      <c r="H1204" s="159" t="s">
        <v>69</v>
      </c>
      <c r="I1204" s="164"/>
    </row>
    <row r="1205" ht="15.75" customHeight="1">
      <c r="A1205" s="78">
        <v>1201.0</v>
      </c>
      <c r="B1205" s="146">
        <v>46071.0</v>
      </c>
      <c r="C1205" s="164">
        <v>62.0</v>
      </c>
      <c r="D1205" s="164">
        <v>69.0</v>
      </c>
      <c r="E1205" s="164" t="s">
        <v>322</v>
      </c>
      <c r="F1205" s="164" t="s">
        <v>312</v>
      </c>
      <c r="G1205" s="146">
        <v>46071.0</v>
      </c>
      <c r="H1205" s="159" t="s">
        <v>69</v>
      </c>
      <c r="I1205" s="164"/>
    </row>
    <row r="1206" ht="15.75" customHeight="1">
      <c r="A1206" s="78">
        <v>1202.0</v>
      </c>
      <c r="B1206" s="146">
        <v>46071.0</v>
      </c>
      <c r="C1206" s="164">
        <v>71.0</v>
      </c>
      <c r="D1206" s="164">
        <v>16.0</v>
      </c>
      <c r="E1206" s="164" t="s">
        <v>323</v>
      </c>
      <c r="F1206" s="164" t="s">
        <v>324</v>
      </c>
      <c r="G1206" s="146">
        <v>46071.0</v>
      </c>
      <c r="H1206" s="159" t="s">
        <v>69</v>
      </c>
      <c r="I1206" s="164"/>
    </row>
    <row r="1207" ht="15.75" customHeight="1">
      <c r="A1207" s="78">
        <v>1203.0</v>
      </c>
      <c r="B1207" s="146">
        <v>46071.0</v>
      </c>
      <c r="C1207" s="164">
        <v>90.0</v>
      </c>
      <c r="D1207" s="164">
        <v>21.0</v>
      </c>
      <c r="E1207" s="164" t="s">
        <v>323</v>
      </c>
      <c r="F1207" s="164" t="s">
        <v>324</v>
      </c>
      <c r="G1207" s="146">
        <v>46071.0</v>
      </c>
      <c r="H1207" s="159" t="s">
        <v>69</v>
      </c>
      <c r="I1207" s="164"/>
    </row>
    <row r="1208" ht="15.75" customHeight="1">
      <c r="A1208" s="78">
        <v>1204.0</v>
      </c>
      <c r="B1208" s="146">
        <v>46071.0</v>
      </c>
      <c r="C1208" s="164">
        <v>104.0</v>
      </c>
      <c r="D1208" s="164">
        <v>9.0</v>
      </c>
      <c r="E1208" s="164" t="s">
        <v>323</v>
      </c>
      <c r="F1208" s="164" t="s">
        <v>324</v>
      </c>
      <c r="G1208" s="146">
        <v>46071.0</v>
      </c>
      <c r="H1208" s="159" t="s">
        <v>69</v>
      </c>
      <c r="I1208" s="164"/>
    </row>
    <row r="1209" ht="15.75" customHeight="1">
      <c r="A1209" s="78">
        <v>1205.0</v>
      </c>
      <c r="B1209" s="146">
        <v>46072.0</v>
      </c>
      <c r="C1209" s="164">
        <v>15.0</v>
      </c>
      <c r="D1209" s="164">
        <v>114.0</v>
      </c>
      <c r="E1209" s="164" t="s">
        <v>323</v>
      </c>
      <c r="F1209" s="164" t="s">
        <v>324</v>
      </c>
      <c r="G1209" s="146">
        <v>46072.0</v>
      </c>
      <c r="H1209" s="159" t="s">
        <v>69</v>
      </c>
      <c r="I1209" s="164"/>
    </row>
    <row r="1210" ht="15.75" customHeight="1">
      <c r="A1210" s="78">
        <v>1206.0</v>
      </c>
      <c r="B1210" s="146">
        <v>46072.0</v>
      </c>
      <c r="C1210" s="164">
        <v>23.0</v>
      </c>
      <c r="D1210" s="164">
        <v>13.0</v>
      </c>
      <c r="E1210" s="164" t="s">
        <v>323</v>
      </c>
      <c r="F1210" s="164" t="s">
        <v>324</v>
      </c>
      <c r="G1210" s="146">
        <v>46072.0</v>
      </c>
      <c r="H1210" s="159" t="s">
        <v>69</v>
      </c>
      <c r="I1210" s="164"/>
    </row>
    <row r="1211" ht="15.75" customHeight="1">
      <c r="A1211" s="78">
        <v>1207.0</v>
      </c>
      <c r="B1211" s="146">
        <v>46072.0</v>
      </c>
      <c r="C1211" s="164">
        <v>48.0</v>
      </c>
      <c r="D1211" s="164">
        <v>67.0</v>
      </c>
      <c r="E1211" s="164" t="s">
        <v>337</v>
      </c>
      <c r="F1211" s="164" t="s">
        <v>324</v>
      </c>
      <c r="G1211" s="146">
        <v>46072.0</v>
      </c>
      <c r="H1211" s="159" t="s">
        <v>69</v>
      </c>
      <c r="I1211" s="164"/>
    </row>
    <row r="1212" ht="15.75" customHeight="1">
      <c r="A1212" s="78">
        <v>1208.0</v>
      </c>
      <c r="B1212" s="146">
        <v>46072.0</v>
      </c>
      <c r="C1212" s="164">
        <v>55.0</v>
      </c>
      <c r="D1212" s="164">
        <v>56.0</v>
      </c>
      <c r="E1212" s="164" t="s">
        <v>323</v>
      </c>
      <c r="F1212" s="164" t="s">
        <v>324</v>
      </c>
      <c r="G1212" s="146">
        <v>46072.0</v>
      </c>
      <c r="H1212" s="159" t="s">
        <v>69</v>
      </c>
      <c r="I1212" s="164"/>
    </row>
    <row r="1213" ht="15.75" customHeight="1">
      <c r="A1213" s="78">
        <v>1209.0</v>
      </c>
      <c r="B1213" s="146">
        <v>46072.0</v>
      </c>
      <c r="C1213" s="164">
        <v>74.0</v>
      </c>
      <c r="D1213" s="164">
        <v>104.0</v>
      </c>
      <c r="E1213" s="164" t="s">
        <v>335</v>
      </c>
      <c r="F1213" s="164" t="s">
        <v>324</v>
      </c>
      <c r="G1213" s="146">
        <v>46072.0</v>
      </c>
      <c r="H1213" s="159" t="s">
        <v>69</v>
      </c>
      <c r="I1213" s="164"/>
    </row>
    <row r="1214" ht="15.75" customHeight="1">
      <c r="A1214" s="78">
        <v>1210.0</v>
      </c>
      <c r="B1214" s="146">
        <v>46072.0</v>
      </c>
      <c r="C1214" s="164">
        <v>94.0</v>
      </c>
      <c r="D1214" s="164">
        <v>77.0</v>
      </c>
      <c r="E1214" s="164" t="s">
        <v>323</v>
      </c>
      <c r="F1214" s="164" t="s">
        <v>324</v>
      </c>
      <c r="G1214" s="146">
        <v>46072.0</v>
      </c>
      <c r="H1214" s="159" t="s">
        <v>69</v>
      </c>
      <c r="I1214" s="164"/>
    </row>
    <row r="1215" ht="15.75" customHeight="1">
      <c r="A1215" s="78">
        <v>1211.0</v>
      </c>
      <c r="B1215" s="146">
        <v>46072.0</v>
      </c>
      <c r="C1215" s="164">
        <v>94.0</v>
      </c>
      <c r="D1215" s="164">
        <v>128.0</v>
      </c>
      <c r="E1215" s="164" t="s">
        <v>323</v>
      </c>
      <c r="F1215" s="164" t="s">
        <v>324</v>
      </c>
      <c r="G1215" s="146">
        <v>46072.0</v>
      </c>
      <c r="H1215" s="159" t="s">
        <v>69</v>
      </c>
      <c r="I1215" s="164"/>
    </row>
    <row r="1216" ht="15.75" customHeight="1">
      <c r="A1216" s="78">
        <v>1212.0</v>
      </c>
      <c r="B1216" s="146">
        <v>46072.0</v>
      </c>
      <c r="C1216" s="164">
        <v>114.0</v>
      </c>
      <c r="D1216" s="164">
        <v>120.0</v>
      </c>
      <c r="E1216" s="164" t="s">
        <v>323</v>
      </c>
      <c r="F1216" s="164" t="s">
        <v>324</v>
      </c>
      <c r="G1216" s="146">
        <v>46072.0</v>
      </c>
      <c r="H1216" s="159" t="s">
        <v>69</v>
      </c>
      <c r="I1216" s="164"/>
    </row>
    <row r="1217" ht="15.75" customHeight="1">
      <c r="A1217" s="78">
        <v>1213.0</v>
      </c>
      <c r="B1217" s="146">
        <v>46074.0</v>
      </c>
      <c r="C1217" s="164">
        <v>21.0</v>
      </c>
      <c r="D1217" s="164">
        <v>6.0</v>
      </c>
      <c r="E1217" s="164" t="s">
        <v>337</v>
      </c>
      <c r="F1217" s="164" t="s">
        <v>324</v>
      </c>
      <c r="G1217" s="146">
        <v>46074.0</v>
      </c>
      <c r="H1217" s="159" t="s">
        <v>69</v>
      </c>
      <c r="I1217" s="164"/>
    </row>
    <row r="1218" ht="15.75" customHeight="1">
      <c r="A1218" s="78">
        <v>1214.0</v>
      </c>
      <c r="B1218" s="146">
        <v>46074.0</v>
      </c>
      <c r="C1218" s="164">
        <v>21.0</v>
      </c>
      <c r="D1218" s="164">
        <v>14.0</v>
      </c>
      <c r="E1218" s="164" t="s">
        <v>323</v>
      </c>
      <c r="F1218" s="164" t="s">
        <v>324</v>
      </c>
      <c r="G1218" s="146">
        <v>46074.0</v>
      </c>
      <c r="H1218" s="159" t="s">
        <v>69</v>
      </c>
      <c r="I1218" s="164"/>
    </row>
    <row r="1219" ht="15.75" customHeight="1">
      <c r="A1219" s="78">
        <v>1215.0</v>
      </c>
      <c r="B1219" s="146">
        <v>46074.0</v>
      </c>
      <c r="C1219" s="164">
        <v>58.0</v>
      </c>
      <c r="D1219" s="164">
        <v>80.0</v>
      </c>
      <c r="E1219" s="164" t="s">
        <v>322</v>
      </c>
      <c r="F1219" s="164" t="s">
        <v>314</v>
      </c>
      <c r="G1219" s="146">
        <v>46076.0</v>
      </c>
      <c r="H1219" s="159" t="s">
        <v>69</v>
      </c>
      <c r="I1219" s="164" t="s">
        <v>393</v>
      </c>
    </row>
    <row r="1220" ht="15.75" customHeight="1">
      <c r="A1220" s="78">
        <v>1216.0</v>
      </c>
      <c r="B1220" s="146">
        <v>46074.0</v>
      </c>
      <c r="C1220" s="164">
        <v>66.0</v>
      </c>
      <c r="D1220" s="164">
        <v>90.0</v>
      </c>
      <c r="E1220" s="164" t="s">
        <v>322</v>
      </c>
      <c r="F1220" s="164" t="s">
        <v>324</v>
      </c>
      <c r="G1220" s="146">
        <v>46074.0</v>
      </c>
      <c r="H1220" s="159" t="s">
        <v>69</v>
      </c>
      <c r="I1220" s="164"/>
    </row>
    <row r="1221" ht="15.75" customHeight="1">
      <c r="A1221" s="78">
        <v>1217.0</v>
      </c>
      <c r="B1221" s="146">
        <v>46074.0</v>
      </c>
      <c r="C1221" s="164">
        <v>74.0</v>
      </c>
      <c r="D1221" s="164">
        <v>10.0</v>
      </c>
      <c r="E1221" s="164" t="s">
        <v>323</v>
      </c>
      <c r="F1221" s="164" t="s">
        <v>324</v>
      </c>
      <c r="G1221" s="146">
        <v>46074.0</v>
      </c>
      <c r="H1221" s="159" t="s">
        <v>69</v>
      </c>
      <c r="I1221" s="164"/>
    </row>
    <row r="1222" ht="15.75" customHeight="1">
      <c r="A1222" s="78">
        <v>1218.0</v>
      </c>
      <c r="B1222" s="146">
        <v>46074.0</v>
      </c>
      <c r="C1222" s="164">
        <v>74.0</v>
      </c>
      <c r="D1222" s="164">
        <v>12.0</v>
      </c>
      <c r="E1222" s="164" t="s">
        <v>323</v>
      </c>
      <c r="F1222" s="164" t="s">
        <v>324</v>
      </c>
      <c r="G1222" s="146">
        <v>46074.0</v>
      </c>
      <c r="H1222" s="159" t="s">
        <v>69</v>
      </c>
      <c r="I1222" s="164"/>
    </row>
    <row r="1223" ht="15.75" customHeight="1">
      <c r="A1223" s="78">
        <v>1219.0</v>
      </c>
      <c r="B1223" s="146">
        <v>46074.0</v>
      </c>
      <c r="C1223" s="164">
        <v>74.0</v>
      </c>
      <c r="D1223" s="164">
        <v>29.0</v>
      </c>
      <c r="E1223" s="164" t="s">
        <v>323</v>
      </c>
      <c r="F1223" s="164" t="s">
        <v>324</v>
      </c>
      <c r="G1223" s="146">
        <v>46074.0</v>
      </c>
      <c r="H1223" s="159" t="s">
        <v>69</v>
      </c>
      <c r="I1223" s="164"/>
    </row>
    <row r="1224" ht="15.75" customHeight="1">
      <c r="A1224" s="78">
        <v>1220.0</v>
      </c>
      <c r="B1224" s="146">
        <v>46074.0</v>
      </c>
      <c r="C1224" s="164">
        <v>74.0</v>
      </c>
      <c r="D1224" s="164">
        <v>55.0</v>
      </c>
      <c r="E1224" s="164" t="s">
        <v>323</v>
      </c>
      <c r="F1224" s="164" t="s">
        <v>324</v>
      </c>
      <c r="G1224" s="146">
        <v>46074.0</v>
      </c>
      <c r="H1224" s="159" t="s">
        <v>69</v>
      </c>
      <c r="I1224" s="164"/>
    </row>
    <row r="1225" ht="15.75" customHeight="1">
      <c r="A1225" s="78">
        <v>1221.0</v>
      </c>
      <c r="B1225" s="146">
        <v>46076.0</v>
      </c>
      <c r="C1225" s="164">
        <v>1.0</v>
      </c>
      <c r="D1225" s="164">
        <v>57.0</v>
      </c>
      <c r="E1225" s="164" t="s">
        <v>323</v>
      </c>
      <c r="F1225" s="164" t="s">
        <v>324</v>
      </c>
      <c r="G1225" s="146">
        <v>46076.0</v>
      </c>
      <c r="H1225" s="159" t="s">
        <v>69</v>
      </c>
      <c r="I1225" s="164"/>
    </row>
    <row r="1226" ht="15.75" customHeight="1">
      <c r="A1226" s="78">
        <v>1222.0</v>
      </c>
      <c r="B1226" s="146">
        <v>46076.0</v>
      </c>
      <c r="C1226" s="164">
        <v>9.0</v>
      </c>
      <c r="D1226" s="164">
        <v>56.0</v>
      </c>
      <c r="E1226" s="164" t="s">
        <v>322</v>
      </c>
      <c r="F1226" s="164" t="s">
        <v>312</v>
      </c>
      <c r="G1226" s="146">
        <v>46076.0</v>
      </c>
      <c r="H1226" s="159" t="s">
        <v>69</v>
      </c>
      <c r="I1226" s="164"/>
    </row>
    <row r="1227" ht="15.75" customHeight="1">
      <c r="A1227" s="78">
        <v>1223.0</v>
      </c>
      <c r="B1227" s="146">
        <v>46076.0</v>
      </c>
      <c r="C1227" s="164">
        <v>20.0</v>
      </c>
      <c r="D1227" s="164">
        <v>93.0</v>
      </c>
      <c r="E1227" s="164" t="s">
        <v>310</v>
      </c>
      <c r="F1227" s="164" t="s">
        <v>314</v>
      </c>
      <c r="G1227" s="146">
        <v>46077.0</v>
      </c>
      <c r="H1227" s="159" t="s">
        <v>69</v>
      </c>
      <c r="I1227" s="164" t="s">
        <v>393</v>
      </c>
    </row>
    <row r="1228" ht="15.75" customHeight="1">
      <c r="A1228" s="78">
        <v>1224.0</v>
      </c>
      <c r="B1228" s="146">
        <v>46076.0</v>
      </c>
      <c r="C1228" s="164">
        <v>31.0</v>
      </c>
      <c r="D1228" s="164">
        <v>40.0</v>
      </c>
      <c r="E1228" s="164" t="s">
        <v>323</v>
      </c>
      <c r="F1228" s="164" t="s">
        <v>324</v>
      </c>
      <c r="G1228" s="146">
        <v>46076.0</v>
      </c>
      <c r="H1228" s="159" t="s">
        <v>69</v>
      </c>
      <c r="I1228" s="164"/>
    </row>
    <row r="1229" ht="15.75" customHeight="1">
      <c r="A1229" s="78">
        <v>1225.0</v>
      </c>
      <c r="B1229" s="146">
        <v>46076.0</v>
      </c>
      <c r="C1229" s="164">
        <v>49.0</v>
      </c>
      <c r="D1229" s="164">
        <v>49.0</v>
      </c>
      <c r="E1229" s="164" t="s">
        <v>323</v>
      </c>
      <c r="F1229" s="164" t="s">
        <v>324</v>
      </c>
      <c r="G1229" s="146">
        <v>46076.0</v>
      </c>
      <c r="H1229" s="159" t="s">
        <v>69</v>
      </c>
      <c r="I1229" s="164"/>
    </row>
    <row r="1230" ht="15.75" customHeight="1">
      <c r="A1230" s="78">
        <v>1226.0</v>
      </c>
      <c r="B1230" s="146">
        <v>46076.0</v>
      </c>
      <c r="C1230" s="164">
        <v>55.0</v>
      </c>
      <c r="D1230" s="164">
        <v>56.0</v>
      </c>
      <c r="E1230" s="164" t="s">
        <v>323</v>
      </c>
      <c r="F1230" s="164" t="s">
        <v>324</v>
      </c>
      <c r="G1230" s="146">
        <v>46076.0</v>
      </c>
      <c r="H1230" s="159" t="s">
        <v>69</v>
      </c>
      <c r="I1230" s="164"/>
    </row>
    <row r="1231" ht="15.75" customHeight="1">
      <c r="A1231" s="78">
        <v>1227.0</v>
      </c>
      <c r="B1231" s="146">
        <v>46076.0</v>
      </c>
      <c r="C1231" s="164">
        <v>55.0</v>
      </c>
      <c r="D1231" s="164">
        <v>102.0</v>
      </c>
      <c r="E1231" s="164" t="s">
        <v>310</v>
      </c>
      <c r="F1231" s="164" t="s">
        <v>324</v>
      </c>
      <c r="G1231" s="146">
        <v>46076.0</v>
      </c>
      <c r="H1231" s="159" t="s">
        <v>69</v>
      </c>
      <c r="I1231" s="164"/>
    </row>
    <row r="1232" ht="15.75" customHeight="1">
      <c r="A1232" s="78">
        <v>1228.0</v>
      </c>
      <c r="B1232" s="146">
        <v>46076.0</v>
      </c>
      <c r="C1232" s="164">
        <v>59.0</v>
      </c>
      <c r="D1232" s="164">
        <v>45.0</v>
      </c>
      <c r="E1232" s="164" t="s">
        <v>323</v>
      </c>
      <c r="F1232" s="164" t="s">
        <v>324</v>
      </c>
      <c r="G1232" s="146">
        <v>46076.0</v>
      </c>
      <c r="H1232" s="159" t="s">
        <v>69</v>
      </c>
      <c r="I1232" s="164"/>
    </row>
    <row r="1233" ht="15.75" customHeight="1">
      <c r="A1233" s="78">
        <v>1229.0</v>
      </c>
      <c r="B1233" s="146">
        <v>46076.0</v>
      </c>
      <c r="C1233" s="164">
        <v>80.0</v>
      </c>
      <c r="D1233" s="164">
        <v>99.0</v>
      </c>
      <c r="E1233" s="164" t="s">
        <v>323</v>
      </c>
      <c r="F1233" s="164" t="s">
        <v>324</v>
      </c>
      <c r="G1233" s="146">
        <v>46076.0</v>
      </c>
      <c r="H1233" s="159" t="s">
        <v>69</v>
      </c>
      <c r="I1233" s="164"/>
    </row>
    <row r="1234" ht="15.75" customHeight="1">
      <c r="A1234" s="78">
        <v>1230.0</v>
      </c>
      <c r="B1234" s="146">
        <v>46076.0</v>
      </c>
      <c r="C1234" s="164">
        <v>80.0</v>
      </c>
      <c r="D1234" s="164">
        <v>100.0</v>
      </c>
      <c r="E1234" s="164" t="s">
        <v>323</v>
      </c>
      <c r="F1234" s="164" t="s">
        <v>324</v>
      </c>
      <c r="G1234" s="146">
        <v>46076.0</v>
      </c>
      <c r="H1234" s="159" t="s">
        <v>69</v>
      </c>
      <c r="I1234" s="164"/>
    </row>
    <row r="1235" ht="15.75" customHeight="1">
      <c r="A1235" s="78">
        <v>1231.0</v>
      </c>
      <c r="B1235" s="146">
        <v>46076.0</v>
      </c>
      <c r="C1235" s="164">
        <v>80.0</v>
      </c>
      <c r="D1235" s="164">
        <v>125.0</v>
      </c>
      <c r="E1235" s="164" t="s">
        <v>323</v>
      </c>
      <c r="F1235" s="164" t="s">
        <v>324</v>
      </c>
      <c r="G1235" s="146">
        <v>46076.0</v>
      </c>
      <c r="H1235" s="159" t="s">
        <v>69</v>
      </c>
      <c r="I1235" s="164"/>
    </row>
    <row r="1236" ht="15.75" customHeight="1">
      <c r="A1236" s="78">
        <v>1232.0</v>
      </c>
      <c r="B1236" s="146">
        <v>46076.0</v>
      </c>
      <c r="C1236" s="164">
        <v>81.0</v>
      </c>
      <c r="D1236" s="164">
        <v>36.0</v>
      </c>
      <c r="E1236" s="164" t="s">
        <v>322</v>
      </c>
      <c r="F1236" s="164" t="s">
        <v>314</v>
      </c>
      <c r="G1236" s="146">
        <v>46078.0</v>
      </c>
      <c r="H1236" s="159" t="s">
        <v>69</v>
      </c>
      <c r="I1236" s="164" t="s">
        <v>394</v>
      </c>
    </row>
    <row r="1237" ht="15.75" customHeight="1">
      <c r="A1237" s="78">
        <v>1233.0</v>
      </c>
      <c r="B1237" s="146">
        <v>46076.0</v>
      </c>
      <c r="C1237" s="164">
        <v>91.0</v>
      </c>
      <c r="D1237" s="164">
        <v>34.0</v>
      </c>
      <c r="E1237" s="164" t="s">
        <v>310</v>
      </c>
      <c r="F1237" s="164" t="s">
        <v>395</v>
      </c>
      <c r="G1237" s="146">
        <v>46077.0</v>
      </c>
      <c r="H1237" s="159" t="s">
        <v>69</v>
      </c>
      <c r="I1237" s="164" t="s">
        <v>387</v>
      </c>
    </row>
    <row r="1238" ht="15.75" customHeight="1">
      <c r="A1238" s="78">
        <v>1234.0</v>
      </c>
      <c r="B1238" s="146">
        <v>46076.0</v>
      </c>
      <c r="C1238" s="164">
        <v>95.0</v>
      </c>
      <c r="D1238" s="164">
        <v>66.0</v>
      </c>
      <c r="E1238" s="164" t="s">
        <v>323</v>
      </c>
      <c r="F1238" s="164" t="s">
        <v>324</v>
      </c>
      <c r="G1238" s="146">
        <v>46076.0</v>
      </c>
      <c r="H1238" s="159" t="s">
        <v>69</v>
      </c>
      <c r="I1238" s="164"/>
    </row>
    <row r="1239" ht="15.75" customHeight="1">
      <c r="A1239" s="78">
        <v>1235.0</v>
      </c>
      <c r="B1239" s="146">
        <v>46076.0</v>
      </c>
      <c r="C1239" s="164">
        <v>121.0</v>
      </c>
      <c r="D1239" s="164">
        <v>135.0</v>
      </c>
      <c r="E1239" s="164" t="s">
        <v>310</v>
      </c>
      <c r="F1239" s="164" t="s">
        <v>395</v>
      </c>
      <c r="G1239" s="146">
        <v>46077.0</v>
      </c>
      <c r="H1239" s="159" t="s">
        <v>69</v>
      </c>
      <c r="I1239" s="164" t="s">
        <v>393</v>
      </c>
    </row>
    <row r="1240" ht="15.75" customHeight="1">
      <c r="A1240" s="78">
        <v>1236.0</v>
      </c>
      <c r="B1240" s="146">
        <v>46077.0</v>
      </c>
      <c r="C1240" s="164">
        <v>22.0</v>
      </c>
      <c r="D1240" s="164">
        <v>44.0</v>
      </c>
      <c r="E1240" s="164" t="s">
        <v>323</v>
      </c>
      <c r="F1240" s="164" t="s">
        <v>324</v>
      </c>
      <c r="G1240" s="146">
        <v>46077.0</v>
      </c>
      <c r="H1240" s="159" t="s">
        <v>69</v>
      </c>
      <c r="I1240" s="164"/>
    </row>
    <row r="1241" ht="15.75" customHeight="1">
      <c r="A1241" s="78">
        <v>1237.0</v>
      </c>
      <c r="B1241" s="146">
        <v>46077.0</v>
      </c>
      <c r="C1241" s="164">
        <v>39.0</v>
      </c>
      <c r="D1241" s="164">
        <v>105.0</v>
      </c>
      <c r="E1241" s="164" t="s">
        <v>323</v>
      </c>
      <c r="F1241" s="164" t="s">
        <v>324</v>
      </c>
      <c r="G1241" s="146">
        <v>46077.0</v>
      </c>
      <c r="H1241" s="159" t="s">
        <v>69</v>
      </c>
      <c r="I1241" s="164"/>
    </row>
    <row r="1242" ht="15.75" customHeight="1">
      <c r="A1242" s="78">
        <v>1238.0</v>
      </c>
      <c r="B1242" s="146">
        <v>46077.0</v>
      </c>
      <c r="C1242" s="164">
        <v>64.0</v>
      </c>
      <c r="D1242" s="164">
        <v>10.0</v>
      </c>
      <c r="E1242" s="164" t="s">
        <v>337</v>
      </c>
      <c r="F1242" s="164" t="s">
        <v>324</v>
      </c>
      <c r="G1242" s="146">
        <v>46077.0</v>
      </c>
      <c r="H1242" s="159" t="s">
        <v>69</v>
      </c>
      <c r="I1242" s="164"/>
    </row>
    <row r="1243" ht="15.75" customHeight="1">
      <c r="A1243" s="78">
        <v>1239.0</v>
      </c>
      <c r="B1243" s="146">
        <v>46077.0</v>
      </c>
      <c r="C1243" s="164">
        <v>126.0</v>
      </c>
      <c r="D1243" s="164">
        <v>95.0</v>
      </c>
      <c r="E1243" s="164" t="s">
        <v>323</v>
      </c>
      <c r="F1243" s="164" t="s">
        <v>324</v>
      </c>
      <c r="G1243" s="146">
        <v>46077.0</v>
      </c>
      <c r="H1243" s="159" t="s">
        <v>69</v>
      </c>
      <c r="I1243" s="164"/>
    </row>
    <row r="1244" ht="15.75" customHeight="1">
      <c r="A1244" s="78">
        <v>1240.0</v>
      </c>
      <c r="B1244" s="146">
        <v>46077.0</v>
      </c>
      <c r="C1244" s="164">
        <v>131.0</v>
      </c>
      <c r="D1244" s="164">
        <v>68.0</v>
      </c>
      <c r="E1244" s="164" t="s">
        <v>323</v>
      </c>
      <c r="F1244" s="164" t="s">
        <v>324</v>
      </c>
      <c r="G1244" s="146">
        <v>46077.0</v>
      </c>
      <c r="H1244" s="159" t="s">
        <v>69</v>
      </c>
      <c r="I1244" s="164"/>
    </row>
    <row r="1245" ht="15.75" customHeight="1">
      <c r="A1245" s="78">
        <v>1241.0</v>
      </c>
      <c r="B1245" s="146">
        <v>46078.0</v>
      </c>
      <c r="C1245" s="164">
        <v>23.0</v>
      </c>
      <c r="D1245" s="164">
        <v>16.0</v>
      </c>
      <c r="E1245" s="164" t="s">
        <v>323</v>
      </c>
      <c r="F1245" s="164" t="s">
        <v>324</v>
      </c>
      <c r="G1245" s="146">
        <v>46078.0</v>
      </c>
      <c r="H1245" s="159" t="s">
        <v>69</v>
      </c>
      <c r="I1245" s="164"/>
    </row>
    <row r="1246" ht="15.75" customHeight="1">
      <c r="A1246" s="78">
        <v>1242.0</v>
      </c>
      <c r="B1246" s="146">
        <v>46078.0</v>
      </c>
      <c r="C1246" s="164">
        <v>35.0</v>
      </c>
      <c r="D1246" s="164">
        <v>90.0</v>
      </c>
      <c r="E1246" s="164" t="s">
        <v>323</v>
      </c>
      <c r="F1246" s="164" t="s">
        <v>324</v>
      </c>
      <c r="G1246" s="146">
        <v>46078.0</v>
      </c>
      <c r="H1246" s="159" t="s">
        <v>69</v>
      </c>
      <c r="I1246" s="164"/>
    </row>
    <row r="1247" ht="15.75" customHeight="1">
      <c r="A1247" s="78">
        <v>1243.0</v>
      </c>
      <c r="B1247" s="146">
        <v>46078.0</v>
      </c>
      <c r="C1247" s="164">
        <v>50.0</v>
      </c>
      <c r="D1247" s="164">
        <v>85.0</v>
      </c>
      <c r="E1247" s="164" t="s">
        <v>323</v>
      </c>
      <c r="F1247" s="164" t="s">
        <v>324</v>
      </c>
      <c r="G1247" s="146">
        <v>46078.0</v>
      </c>
      <c r="H1247" s="159" t="s">
        <v>69</v>
      </c>
      <c r="I1247" s="164"/>
    </row>
    <row r="1248" ht="15.75" customHeight="1">
      <c r="A1248" s="78">
        <v>1244.0</v>
      </c>
      <c r="B1248" s="146">
        <v>46078.0</v>
      </c>
      <c r="C1248" s="164">
        <v>55.0</v>
      </c>
      <c r="D1248" s="164">
        <v>140.0</v>
      </c>
      <c r="E1248" s="164" t="s">
        <v>323</v>
      </c>
      <c r="F1248" s="164" t="s">
        <v>324</v>
      </c>
      <c r="G1248" s="146">
        <v>46078.0</v>
      </c>
      <c r="H1248" s="159" t="s">
        <v>69</v>
      </c>
      <c r="I1248" s="164"/>
    </row>
    <row r="1249" ht="15.75" customHeight="1">
      <c r="A1249" s="78">
        <v>1245.0</v>
      </c>
      <c r="B1249" s="146">
        <v>46078.0</v>
      </c>
      <c r="C1249" s="164">
        <v>58.0</v>
      </c>
      <c r="D1249" s="164">
        <v>42.0</v>
      </c>
      <c r="E1249" s="164" t="s">
        <v>337</v>
      </c>
      <c r="F1249" s="164" t="s">
        <v>324</v>
      </c>
      <c r="G1249" s="146">
        <v>46078.0</v>
      </c>
      <c r="H1249" s="159" t="s">
        <v>69</v>
      </c>
      <c r="I1249" s="164"/>
    </row>
    <row r="1250" ht="15.75" customHeight="1">
      <c r="A1250" s="78">
        <v>1246.0</v>
      </c>
      <c r="B1250" s="146">
        <v>46078.0</v>
      </c>
      <c r="C1250" s="164">
        <v>67.0</v>
      </c>
      <c r="D1250" s="164">
        <v>67.0</v>
      </c>
      <c r="E1250" s="164" t="s">
        <v>323</v>
      </c>
      <c r="F1250" s="164" t="s">
        <v>324</v>
      </c>
      <c r="G1250" s="146">
        <v>46078.0</v>
      </c>
      <c r="H1250" s="159" t="s">
        <v>69</v>
      </c>
      <c r="I1250" s="164"/>
    </row>
    <row r="1251" ht="15.75" customHeight="1">
      <c r="A1251" s="78">
        <v>1247.0</v>
      </c>
      <c r="B1251" s="146">
        <v>46078.0</v>
      </c>
      <c r="C1251" s="164">
        <v>69.0</v>
      </c>
      <c r="D1251" s="164">
        <v>5.0</v>
      </c>
      <c r="E1251" s="164" t="s">
        <v>323</v>
      </c>
      <c r="F1251" s="164" t="s">
        <v>324</v>
      </c>
      <c r="G1251" s="146">
        <v>46078.0</v>
      </c>
      <c r="H1251" s="159" t="s">
        <v>69</v>
      </c>
      <c r="I1251" s="164"/>
    </row>
    <row r="1252" ht="15.75" customHeight="1">
      <c r="A1252" s="78">
        <v>1248.0</v>
      </c>
      <c r="B1252" s="146">
        <v>46078.0</v>
      </c>
      <c r="C1252" s="164">
        <v>72.0</v>
      </c>
      <c r="D1252" s="164">
        <v>105.0</v>
      </c>
      <c r="E1252" s="164" t="s">
        <v>323</v>
      </c>
      <c r="F1252" s="164" t="s">
        <v>324</v>
      </c>
      <c r="G1252" s="146">
        <v>46078.0</v>
      </c>
      <c r="H1252" s="159" t="s">
        <v>69</v>
      </c>
      <c r="I1252" s="164"/>
    </row>
    <row r="1253" ht="15.75" customHeight="1">
      <c r="A1253" s="78">
        <v>1249.0</v>
      </c>
      <c r="B1253" s="146">
        <v>46078.0</v>
      </c>
      <c r="C1253" s="164">
        <v>74.0</v>
      </c>
      <c r="D1253" s="164">
        <v>42.0</v>
      </c>
      <c r="E1253" s="164" t="s">
        <v>323</v>
      </c>
      <c r="F1253" s="164" t="s">
        <v>324</v>
      </c>
      <c r="G1253" s="146">
        <v>46078.0</v>
      </c>
      <c r="H1253" s="159" t="s">
        <v>69</v>
      </c>
      <c r="I1253" s="164"/>
    </row>
    <row r="1254" ht="15.75" customHeight="1">
      <c r="A1254" s="78">
        <v>1250.0</v>
      </c>
      <c r="B1254" s="146">
        <v>46078.0</v>
      </c>
      <c r="C1254" s="164">
        <v>74.0</v>
      </c>
      <c r="D1254" s="164">
        <v>110.0</v>
      </c>
      <c r="E1254" s="164" t="s">
        <v>323</v>
      </c>
      <c r="F1254" s="164" t="s">
        <v>324</v>
      </c>
      <c r="G1254" s="146">
        <v>46078.0</v>
      </c>
      <c r="H1254" s="159" t="s">
        <v>69</v>
      </c>
      <c r="I1254" s="164"/>
    </row>
    <row r="1255" ht="15.75" customHeight="1">
      <c r="A1255" s="78">
        <v>1251.0</v>
      </c>
      <c r="B1255" s="146">
        <v>46078.0</v>
      </c>
      <c r="C1255" s="164">
        <v>79.0</v>
      </c>
      <c r="D1255" s="164">
        <v>56.0</v>
      </c>
      <c r="E1255" s="164" t="s">
        <v>323</v>
      </c>
      <c r="F1255" s="164" t="s">
        <v>324</v>
      </c>
      <c r="G1255" s="146">
        <v>46078.0</v>
      </c>
      <c r="H1255" s="159" t="s">
        <v>69</v>
      </c>
      <c r="I1255" s="164"/>
    </row>
    <row r="1256" ht="15.75" customHeight="1">
      <c r="A1256" s="78">
        <v>1252.0</v>
      </c>
      <c r="B1256" s="146">
        <v>46078.0</v>
      </c>
      <c r="C1256" s="164">
        <v>94.0</v>
      </c>
      <c r="D1256" s="164">
        <v>77.0</v>
      </c>
      <c r="E1256" s="164" t="s">
        <v>323</v>
      </c>
      <c r="F1256" s="164" t="s">
        <v>324</v>
      </c>
      <c r="G1256" s="146">
        <v>46078.0</v>
      </c>
      <c r="H1256" s="159" t="s">
        <v>69</v>
      </c>
      <c r="I1256" s="164"/>
    </row>
    <row r="1257" ht="15.75" customHeight="1">
      <c r="A1257" s="78">
        <v>1253.0</v>
      </c>
      <c r="B1257" s="146">
        <v>46078.0</v>
      </c>
      <c r="C1257" s="164">
        <v>99.0</v>
      </c>
      <c r="D1257" s="164">
        <v>115.0</v>
      </c>
      <c r="E1257" s="164" t="s">
        <v>323</v>
      </c>
      <c r="F1257" s="164" t="s">
        <v>324</v>
      </c>
      <c r="G1257" s="146">
        <v>46078.0</v>
      </c>
      <c r="H1257" s="159" t="s">
        <v>69</v>
      </c>
      <c r="I1257" s="164"/>
    </row>
    <row r="1258" ht="15.75" customHeight="1">
      <c r="A1258" s="78">
        <v>1254.0</v>
      </c>
      <c r="B1258" s="146">
        <v>46078.0</v>
      </c>
      <c r="C1258" s="164">
        <v>102.0</v>
      </c>
      <c r="D1258" s="164">
        <v>4.0</v>
      </c>
      <c r="E1258" s="164" t="s">
        <v>323</v>
      </c>
      <c r="F1258" s="164" t="s">
        <v>324</v>
      </c>
      <c r="G1258" s="146">
        <v>46078.0</v>
      </c>
      <c r="H1258" s="159" t="s">
        <v>69</v>
      </c>
      <c r="I1258" s="164"/>
    </row>
    <row r="1259" ht="15.75" customHeight="1">
      <c r="A1259" s="78">
        <v>1255.0</v>
      </c>
      <c r="B1259" s="146">
        <v>46078.0</v>
      </c>
      <c r="C1259" s="164">
        <v>109.0</v>
      </c>
      <c r="D1259" s="164">
        <v>25.0</v>
      </c>
      <c r="E1259" s="164" t="s">
        <v>337</v>
      </c>
      <c r="F1259" s="164" t="s">
        <v>324</v>
      </c>
      <c r="G1259" s="146">
        <v>46078.0</v>
      </c>
      <c r="H1259" s="159" t="s">
        <v>69</v>
      </c>
      <c r="I1259" s="164"/>
    </row>
    <row r="1260" ht="15.75" customHeight="1">
      <c r="A1260" s="78">
        <v>1256.0</v>
      </c>
      <c r="B1260" s="146">
        <v>46078.0</v>
      </c>
      <c r="C1260" s="164">
        <v>109.0</v>
      </c>
      <c r="D1260" s="164">
        <v>96.0</v>
      </c>
      <c r="E1260" s="164" t="s">
        <v>337</v>
      </c>
      <c r="F1260" s="164" t="s">
        <v>324</v>
      </c>
      <c r="G1260" s="146">
        <v>46078.0</v>
      </c>
      <c r="H1260" s="159" t="s">
        <v>69</v>
      </c>
      <c r="I1260" s="164"/>
    </row>
    <row r="1261" ht="15.75" customHeight="1">
      <c r="A1261" s="78">
        <v>1257.0</v>
      </c>
      <c r="B1261" s="146">
        <v>46080.0</v>
      </c>
      <c r="C1261" s="164">
        <v>16.0</v>
      </c>
      <c r="D1261" s="164">
        <v>137.0</v>
      </c>
      <c r="E1261" s="164" t="s">
        <v>335</v>
      </c>
      <c r="F1261" s="164" t="s">
        <v>324</v>
      </c>
      <c r="G1261" s="146">
        <v>46080.0</v>
      </c>
      <c r="H1261" s="159" t="s">
        <v>69</v>
      </c>
      <c r="I1261" s="164"/>
    </row>
    <row r="1262" ht="15.75" customHeight="1">
      <c r="A1262" s="78">
        <v>1258.0</v>
      </c>
      <c r="B1262" s="146">
        <v>46080.0</v>
      </c>
      <c r="C1262" s="164">
        <v>49.0</v>
      </c>
      <c r="D1262" s="164">
        <v>56.0</v>
      </c>
      <c r="E1262" s="164" t="s">
        <v>323</v>
      </c>
      <c r="F1262" s="164" t="s">
        <v>324</v>
      </c>
      <c r="G1262" s="146">
        <v>46080.0</v>
      </c>
      <c r="H1262" s="159" t="s">
        <v>69</v>
      </c>
      <c r="I1262" s="164"/>
    </row>
    <row r="1263" ht="15.75" customHeight="1">
      <c r="A1263" s="78">
        <v>1259.0</v>
      </c>
      <c r="B1263" s="146">
        <v>46080.0</v>
      </c>
      <c r="C1263" s="164">
        <v>55.0</v>
      </c>
      <c r="D1263" s="164">
        <v>116.0</v>
      </c>
      <c r="E1263" s="164" t="s">
        <v>323</v>
      </c>
      <c r="F1263" s="164" t="s">
        <v>324</v>
      </c>
      <c r="G1263" s="146">
        <v>46080.0</v>
      </c>
      <c r="H1263" s="159" t="s">
        <v>69</v>
      </c>
      <c r="I1263" s="164"/>
    </row>
    <row r="1264" ht="15.75" customHeight="1">
      <c r="A1264" s="78">
        <v>1260.0</v>
      </c>
      <c r="B1264" s="146">
        <v>46080.0</v>
      </c>
      <c r="C1264" s="164">
        <v>75.0</v>
      </c>
      <c r="D1264" s="164">
        <v>41.0</v>
      </c>
      <c r="E1264" s="164" t="s">
        <v>323</v>
      </c>
      <c r="F1264" s="164" t="s">
        <v>324</v>
      </c>
      <c r="G1264" s="146">
        <v>46080.0</v>
      </c>
      <c r="H1264" s="159" t="s">
        <v>69</v>
      </c>
      <c r="I1264" s="164"/>
    </row>
    <row r="1265" ht="15.75" customHeight="1">
      <c r="A1265" s="78">
        <v>1261.0</v>
      </c>
      <c r="B1265" s="146">
        <v>46080.0</v>
      </c>
      <c r="C1265" s="164">
        <v>86.0</v>
      </c>
      <c r="D1265" s="164">
        <v>17.0</v>
      </c>
      <c r="E1265" s="164" t="s">
        <v>323</v>
      </c>
      <c r="F1265" s="164" t="s">
        <v>324</v>
      </c>
      <c r="G1265" s="146">
        <v>46080.0</v>
      </c>
      <c r="H1265" s="159" t="s">
        <v>69</v>
      </c>
      <c r="I1265" s="164"/>
    </row>
    <row r="1266" ht="15.75" customHeight="1">
      <c r="A1266" s="78">
        <v>1262.0</v>
      </c>
      <c r="B1266" s="146">
        <v>46080.0</v>
      </c>
      <c r="C1266" s="164">
        <v>89.0</v>
      </c>
      <c r="D1266" s="164">
        <v>139.0</v>
      </c>
      <c r="E1266" s="164" t="s">
        <v>323</v>
      </c>
      <c r="F1266" s="164" t="s">
        <v>324</v>
      </c>
      <c r="G1266" s="146">
        <v>46080.0</v>
      </c>
      <c r="H1266" s="159" t="s">
        <v>69</v>
      </c>
      <c r="I1266" s="164"/>
    </row>
    <row r="1267" ht="15.75" customHeight="1">
      <c r="A1267" s="78">
        <v>1263.0</v>
      </c>
      <c r="B1267" s="146">
        <v>46080.0</v>
      </c>
      <c r="C1267" s="164">
        <v>103.0</v>
      </c>
      <c r="D1267" s="164">
        <v>34.0</v>
      </c>
      <c r="E1267" s="164" t="s">
        <v>323</v>
      </c>
      <c r="F1267" s="164" t="s">
        <v>324</v>
      </c>
      <c r="G1267" s="146">
        <v>46080.0</v>
      </c>
      <c r="H1267" s="159" t="s">
        <v>69</v>
      </c>
      <c r="I1267" s="164"/>
    </row>
    <row r="1268" ht="15.75" customHeight="1">
      <c r="A1268" s="78">
        <v>1264.0</v>
      </c>
      <c r="B1268" s="146">
        <v>46080.0</v>
      </c>
      <c r="C1268" s="164">
        <v>109.0</v>
      </c>
      <c r="D1268" s="164">
        <v>118.0</v>
      </c>
      <c r="E1268" s="164" t="s">
        <v>323</v>
      </c>
      <c r="F1268" s="164" t="s">
        <v>324</v>
      </c>
      <c r="G1268" s="146">
        <v>46080.0</v>
      </c>
      <c r="H1268" s="159" t="s">
        <v>69</v>
      </c>
      <c r="I1268" s="164"/>
    </row>
    <row r="1269" ht="15.75" customHeight="1">
      <c r="A1269" s="78">
        <v>1265.0</v>
      </c>
      <c r="B1269" s="146">
        <v>46080.0</v>
      </c>
      <c r="C1269" s="164">
        <v>114.0</v>
      </c>
      <c r="D1269" s="164">
        <v>120.0</v>
      </c>
      <c r="E1269" s="164" t="s">
        <v>323</v>
      </c>
      <c r="F1269" s="164" t="s">
        <v>324</v>
      </c>
      <c r="G1269" s="146">
        <v>46080.0</v>
      </c>
      <c r="H1269" s="159" t="s">
        <v>69</v>
      </c>
      <c r="I1269" s="164"/>
    </row>
    <row r="1270" ht="15.75" customHeight="1">
      <c r="A1270" s="78">
        <v>1266.0</v>
      </c>
      <c r="B1270" s="146">
        <v>46080.0</v>
      </c>
      <c r="C1270" s="164">
        <v>130.0</v>
      </c>
      <c r="D1270" s="164">
        <v>32.0</v>
      </c>
      <c r="E1270" s="164" t="s">
        <v>310</v>
      </c>
      <c r="F1270" s="164" t="s">
        <v>314</v>
      </c>
      <c r="G1270" s="146">
        <v>46081.0</v>
      </c>
      <c r="H1270" s="159" t="s">
        <v>69</v>
      </c>
      <c r="I1270" s="164" t="s">
        <v>393</v>
      </c>
    </row>
    <row r="1271" ht="15.75" customHeight="1">
      <c r="A1271" s="78">
        <v>1267.0</v>
      </c>
      <c r="B1271" s="146">
        <v>46081.0</v>
      </c>
      <c r="C1271" s="164">
        <v>14.0</v>
      </c>
      <c r="D1271" s="164">
        <v>4.0</v>
      </c>
      <c r="E1271" s="164" t="s">
        <v>310</v>
      </c>
      <c r="F1271" s="164" t="s">
        <v>314</v>
      </c>
      <c r="G1271" s="169">
        <v>46082.0</v>
      </c>
      <c r="H1271" s="159" t="s">
        <v>69</v>
      </c>
      <c r="I1271" s="164" t="s">
        <v>333</v>
      </c>
    </row>
    <row r="1272" ht="15.75" customHeight="1">
      <c r="A1272" s="78">
        <v>1268.0</v>
      </c>
      <c r="B1272" s="146">
        <v>46081.0</v>
      </c>
      <c r="C1272" s="164">
        <v>42.0</v>
      </c>
      <c r="D1272" s="164">
        <v>52.0</v>
      </c>
      <c r="E1272" s="164" t="s">
        <v>323</v>
      </c>
      <c r="F1272" s="164" t="s">
        <v>309</v>
      </c>
      <c r="G1272" s="146">
        <v>46081.0</v>
      </c>
      <c r="H1272" s="159" t="s">
        <v>69</v>
      </c>
      <c r="I1272" s="164"/>
    </row>
    <row r="1273" ht="15.75" customHeight="1">
      <c r="A1273" s="78">
        <v>1269.0</v>
      </c>
      <c r="B1273" s="146">
        <v>46081.0</v>
      </c>
      <c r="C1273" s="164">
        <v>43.0</v>
      </c>
      <c r="D1273" s="164">
        <v>105.0</v>
      </c>
      <c r="E1273" s="164" t="s">
        <v>323</v>
      </c>
      <c r="F1273" s="164" t="s">
        <v>309</v>
      </c>
      <c r="G1273" s="146">
        <v>46081.0</v>
      </c>
      <c r="H1273" s="159" t="s">
        <v>69</v>
      </c>
      <c r="I1273" s="164"/>
    </row>
    <row r="1274" ht="15.75" customHeight="1">
      <c r="A1274" s="78">
        <v>1270.0</v>
      </c>
      <c r="B1274" s="146">
        <v>46081.0</v>
      </c>
      <c r="C1274" s="164">
        <v>60.0</v>
      </c>
      <c r="D1274" s="164">
        <v>91.0</v>
      </c>
      <c r="E1274" s="164" t="s">
        <v>323</v>
      </c>
      <c r="F1274" s="164" t="s">
        <v>309</v>
      </c>
      <c r="G1274" s="146">
        <v>46081.0</v>
      </c>
      <c r="H1274" s="159" t="s">
        <v>69</v>
      </c>
      <c r="I1274" s="164"/>
    </row>
    <row r="1275" ht="15.75" customHeight="1">
      <c r="A1275" s="78">
        <v>1271.0</v>
      </c>
      <c r="B1275" s="146">
        <v>46081.0</v>
      </c>
      <c r="C1275" s="164">
        <v>60.0</v>
      </c>
      <c r="D1275" s="164">
        <v>109.0</v>
      </c>
      <c r="E1275" s="164" t="s">
        <v>310</v>
      </c>
      <c r="F1275" s="164" t="s">
        <v>314</v>
      </c>
      <c r="G1275" s="169">
        <v>46082.0</v>
      </c>
      <c r="H1275" s="159" t="s">
        <v>69</v>
      </c>
      <c r="I1275" s="164" t="s">
        <v>396</v>
      </c>
    </row>
    <row r="1276" ht="15.75" customHeight="1">
      <c r="A1276" s="78">
        <v>1272.0</v>
      </c>
      <c r="B1276" s="146">
        <v>46081.0</v>
      </c>
      <c r="C1276" s="164">
        <v>70.0</v>
      </c>
      <c r="D1276" s="164">
        <v>63.0</v>
      </c>
      <c r="E1276" s="164" t="s">
        <v>323</v>
      </c>
      <c r="F1276" s="164" t="s">
        <v>309</v>
      </c>
      <c r="G1276" s="146">
        <v>46081.0</v>
      </c>
      <c r="H1276" s="159" t="s">
        <v>69</v>
      </c>
      <c r="I1276" s="164"/>
    </row>
    <row r="1277" ht="15.75" customHeight="1">
      <c r="A1277" s="78">
        <v>1273.0</v>
      </c>
      <c r="B1277" s="146">
        <v>46081.0</v>
      </c>
      <c r="C1277" s="164">
        <v>80.0</v>
      </c>
      <c r="D1277" s="164">
        <v>3.0</v>
      </c>
      <c r="E1277" s="164" t="s">
        <v>337</v>
      </c>
      <c r="F1277" s="164" t="s">
        <v>309</v>
      </c>
      <c r="G1277" s="146">
        <v>46081.0</v>
      </c>
      <c r="H1277" s="159" t="s">
        <v>69</v>
      </c>
      <c r="I1277" s="164"/>
    </row>
    <row r="1278" ht="15.75" customHeight="1">
      <c r="A1278" s="78">
        <v>1274.0</v>
      </c>
      <c r="B1278" s="146">
        <v>46081.0</v>
      </c>
      <c r="C1278" s="164">
        <v>82.0</v>
      </c>
      <c r="D1278" s="164">
        <v>53.0</v>
      </c>
      <c r="E1278" s="164" t="s">
        <v>323</v>
      </c>
      <c r="F1278" s="164" t="s">
        <v>309</v>
      </c>
      <c r="G1278" s="146">
        <v>46081.0</v>
      </c>
      <c r="H1278" s="159" t="s">
        <v>69</v>
      </c>
      <c r="I1278" s="164"/>
    </row>
    <row r="1279" ht="15.75" customHeight="1">
      <c r="A1279" s="78">
        <v>1275.0</v>
      </c>
      <c r="B1279" s="146">
        <v>46081.0</v>
      </c>
      <c r="C1279" s="164">
        <v>95.0</v>
      </c>
      <c r="D1279" s="164">
        <v>13.0</v>
      </c>
      <c r="E1279" s="164" t="s">
        <v>323</v>
      </c>
      <c r="F1279" s="164" t="s">
        <v>309</v>
      </c>
      <c r="G1279" s="146">
        <v>46081.0</v>
      </c>
      <c r="H1279" s="159" t="s">
        <v>69</v>
      </c>
      <c r="I1279" s="164"/>
    </row>
    <row r="1280" ht="15.75" customHeight="1">
      <c r="A1280" s="78">
        <v>1276.0</v>
      </c>
      <c r="B1280" s="146">
        <v>46081.0</v>
      </c>
      <c r="C1280" s="164">
        <v>95.0</v>
      </c>
      <c r="D1280" s="164">
        <v>101.0</v>
      </c>
      <c r="E1280" s="164" t="s">
        <v>323</v>
      </c>
      <c r="F1280" s="164" t="s">
        <v>309</v>
      </c>
      <c r="G1280" s="146">
        <v>46081.0</v>
      </c>
      <c r="H1280" s="159" t="s">
        <v>69</v>
      </c>
      <c r="I1280" s="164"/>
    </row>
    <row r="1281" ht="15.75" customHeight="1">
      <c r="A1281" s="78">
        <v>1277.0</v>
      </c>
      <c r="B1281" s="146">
        <v>46081.0</v>
      </c>
      <c r="C1281" s="164">
        <v>95.0</v>
      </c>
      <c r="D1281" s="164">
        <v>117.0</v>
      </c>
      <c r="E1281" s="164" t="s">
        <v>323</v>
      </c>
      <c r="F1281" s="164" t="s">
        <v>309</v>
      </c>
      <c r="G1281" s="146">
        <v>46081.0</v>
      </c>
      <c r="H1281" s="159" t="s">
        <v>69</v>
      </c>
      <c r="I1281" s="164"/>
    </row>
    <row r="1282" ht="15.75" customHeight="1">
      <c r="A1282" s="78">
        <v>1278.0</v>
      </c>
      <c r="B1282" s="146">
        <v>46081.0</v>
      </c>
      <c r="C1282" s="164">
        <v>123.0</v>
      </c>
      <c r="D1282" s="164">
        <v>61.0</v>
      </c>
      <c r="E1282" s="164" t="s">
        <v>337</v>
      </c>
      <c r="F1282" s="164" t="s">
        <v>309</v>
      </c>
      <c r="G1282" s="146">
        <v>46081.0</v>
      </c>
      <c r="H1282" s="159" t="s">
        <v>69</v>
      </c>
      <c r="I1282" s="164"/>
    </row>
    <row r="1283" ht="15.75" customHeight="1">
      <c r="A1283" s="78">
        <v>1279.0</v>
      </c>
      <c r="B1283" s="146">
        <v>46081.0</v>
      </c>
      <c r="C1283" s="164">
        <v>131.0</v>
      </c>
      <c r="D1283" s="164">
        <v>112.0</v>
      </c>
      <c r="E1283" s="164" t="s">
        <v>310</v>
      </c>
      <c r="F1283" s="164" t="s">
        <v>314</v>
      </c>
      <c r="G1283" s="169">
        <v>46082.0</v>
      </c>
      <c r="H1283" s="159" t="s">
        <v>69</v>
      </c>
      <c r="I1283" s="164" t="s">
        <v>333</v>
      </c>
    </row>
    <row r="1284" ht="15.75" customHeight="1">
      <c r="A1284" s="78">
        <v>1280.0</v>
      </c>
      <c r="B1284" s="169">
        <v>46082.0</v>
      </c>
      <c r="C1284" s="164">
        <v>1.0</v>
      </c>
      <c r="D1284" s="170">
        <v>19.0</v>
      </c>
      <c r="E1284" s="170" t="s">
        <v>337</v>
      </c>
      <c r="F1284" s="170" t="s">
        <v>324</v>
      </c>
      <c r="G1284" s="169">
        <v>46082.0</v>
      </c>
      <c r="H1284" s="159" t="s">
        <v>69</v>
      </c>
      <c r="I1284" s="164"/>
    </row>
    <row r="1285" ht="15.75" customHeight="1">
      <c r="A1285" s="78">
        <v>1281.0</v>
      </c>
      <c r="B1285" s="169">
        <v>46082.0</v>
      </c>
      <c r="C1285" s="164">
        <v>11.0</v>
      </c>
      <c r="D1285" s="170">
        <v>95.0</v>
      </c>
      <c r="E1285" s="170" t="s">
        <v>322</v>
      </c>
      <c r="F1285" s="164" t="s">
        <v>314</v>
      </c>
      <c r="G1285" s="169">
        <v>46083.0</v>
      </c>
      <c r="H1285" s="159" t="s">
        <v>69</v>
      </c>
      <c r="I1285" s="170" t="s">
        <v>397</v>
      </c>
    </row>
    <row r="1286" ht="15.75" customHeight="1">
      <c r="A1286" s="78">
        <v>1282.0</v>
      </c>
      <c r="B1286" s="169">
        <v>46082.0</v>
      </c>
      <c r="C1286" s="164">
        <v>25.0</v>
      </c>
      <c r="D1286" s="170">
        <v>69.0</v>
      </c>
      <c r="E1286" s="170" t="s">
        <v>310</v>
      </c>
      <c r="F1286" s="170" t="s">
        <v>324</v>
      </c>
      <c r="G1286" s="169">
        <v>46082.0</v>
      </c>
      <c r="H1286" s="159" t="s">
        <v>69</v>
      </c>
      <c r="I1286" s="164"/>
    </row>
    <row r="1287" ht="15.75" customHeight="1">
      <c r="A1287" s="78">
        <v>1283.0</v>
      </c>
      <c r="B1287" s="169">
        <v>46082.0</v>
      </c>
      <c r="C1287" s="164">
        <v>39.0</v>
      </c>
      <c r="D1287" s="170">
        <v>105.0</v>
      </c>
      <c r="E1287" s="170" t="s">
        <v>323</v>
      </c>
      <c r="F1287" s="170" t="s">
        <v>324</v>
      </c>
      <c r="G1287" s="169">
        <v>46082.0</v>
      </c>
      <c r="H1287" s="159" t="s">
        <v>69</v>
      </c>
      <c r="I1287" s="164"/>
    </row>
    <row r="1288" ht="15.75" customHeight="1">
      <c r="A1288" s="171">
        <v>1284.0</v>
      </c>
      <c r="B1288" s="172">
        <v>46082.0</v>
      </c>
      <c r="C1288" s="173">
        <v>60.0</v>
      </c>
      <c r="D1288" s="174">
        <v>109.0</v>
      </c>
      <c r="E1288" s="174" t="s">
        <v>310</v>
      </c>
      <c r="F1288" s="173"/>
      <c r="G1288" s="172"/>
      <c r="H1288" s="175" t="s">
        <v>286</v>
      </c>
      <c r="I1288" s="176" t="s">
        <v>398</v>
      </c>
    </row>
    <row r="1289" ht="15.75" customHeight="1">
      <c r="A1289" s="78">
        <v>1285.0</v>
      </c>
      <c r="B1289" s="169">
        <v>46083.0</v>
      </c>
      <c r="C1289" s="164">
        <v>23.0</v>
      </c>
      <c r="D1289" s="170">
        <v>16.0</v>
      </c>
      <c r="E1289" s="170" t="s">
        <v>323</v>
      </c>
      <c r="F1289" s="170" t="s">
        <v>324</v>
      </c>
      <c r="G1289" s="169">
        <v>46083.0</v>
      </c>
      <c r="H1289" s="159" t="s">
        <v>69</v>
      </c>
      <c r="I1289" s="164"/>
    </row>
    <row r="1290" ht="15.75" customHeight="1">
      <c r="A1290" s="78">
        <v>1286.0</v>
      </c>
      <c r="B1290" s="169">
        <v>46083.0</v>
      </c>
      <c r="C1290" s="164">
        <v>23.0</v>
      </c>
      <c r="D1290" s="170">
        <v>22.0</v>
      </c>
      <c r="E1290" s="170" t="s">
        <v>323</v>
      </c>
      <c r="F1290" s="170" t="s">
        <v>324</v>
      </c>
      <c r="G1290" s="169">
        <v>46083.0</v>
      </c>
      <c r="H1290" s="159" t="s">
        <v>69</v>
      </c>
      <c r="I1290" s="164"/>
    </row>
    <row r="1291" ht="15.75" customHeight="1">
      <c r="A1291" s="171">
        <v>1287.0</v>
      </c>
      <c r="B1291" s="172">
        <v>46083.0</v>
      </c>
      <c r="C1291" s="173">
        <v>53.0</v>
      </c>
      <c r="D1291" s="174">
        <v>109.0</v>
      </c>
      <c r="E1291" s="174" t="s">
        <v>335</v>
      </c>
      <c r="F1291" s="177"/>
      <c r="G1291" s="172"/>
      <c r="H1291" s="175" t="s">
        <v>286</v>
      </c>
      <c r="I1291" s="176" t="s">
        <v>399</v>
      </c>
    </row>
    <row r="1292" ht="15.75" customHeight="1">
      <c r="A1292" s="78">
        <v>1288.0</v>
      </c>
      <c r="B1292" s="169">
        <v>46083.0</v>
      </c>
      <c r="C1292" s="164">
        <v>63.0</v>
      </c>
      <c r="D1292" s="170">
        <v>15.0</v>
      </c>
      <c r="E1292" s="170" t="s">
        <v>323</v>
      </c>
      <c r="F1292" s="170" t="s">
        <v>324</v>
      </c>
      <c r="G1292" s="169">
        <v>46083.0</v>
      </c>
      <c r="H1292" s="159" t="s">
        <v>69</v>
      </c>
      <c r="I1292" s="164"/>
    </row>
    <row r="1293" ht="15.75" customHeight="1">
      <c r="A1293" s="78">
        <v>1289.0</v>
      </c>
      <c r="B1293" s="169">
        <v>46083.0</v>
      </c>
      <c r="C1293" s="164">
        <v>71.0</v>
      </c>
      <c r="D1293" s="170">
        <v>1.0</v>
      </c>
      <c r="E1293" s="170" t="s">
        <v>323</v>
      </c>
      <c r="F1293" s="170" t="s">
        <v>324</v>
      </c>
      <c r="G1293" s="169">
        <v>46083.0</v>
      </c>
      <c r="H1293" s="159" t="s">
        <v>69</v>
      </c>
      <c r="I1293" s="164"/>
    </row>
    <row r="1294" ht="15.75" customHeight="1">
      <c r="A1294" s="78">
        <v>1290.0</v>
      </c>
      <c r="B1294" s="169">
        <v>46083.0</v>
      </c>
      <c r="C1294" s="164">
        <v>80.0</v>
      </c>
      <c r="D1294" s="170">
        <v>3.0</v>
      </c>
      <c r="E1294" s="170" t="s">
        <v>337</v>
      </c>
      <c r="F1294" s="170" t="s">
        <v>324</v>
      </c>
      <c r="G1294" s="169">
        <v>46083.0</v>
      </c>
      <c r="H1294" s="159" t="s">
        <v>69</v>
      </c>
      <c r="I1294" s="164"/>
    </row>
    <row r="1295" ht="15.75" customHeight="1">
      <c r="A1295" s="78">
        <v>1291.0</v>
      </c>
      <c r="B1295" s="169">
        <v>46083.0</v>
      </c>
      <c r="C1295" s="164">
        <v>80.0</v>
      </c>
      <c r="D1295" s="170">
        <v>39.0</v>
      </c>
      <c r="E1295" s="170" t="s">
        <v>337</v>
      </c>
      <c r="F1295" s="170" t="s">
        <v>324</v>
      </c>
      <c r="G1295" s="169">
        <v>46083.0</v>
      </c>
      <c r="H1295" s="159" t="s">
        <v>69</v>
      </c>
      <c r="I1295" s="164"/>
    </row>
    <row r="1296" ht="15.75" customHeight="1">
      <c r="A1296" s="78">
        <v>1292.0</v>
      </c>
      <c r="B1296" s="169">
        <v>46083.0</v>
      </c>
      <c r="C1296" s="164">
        <v>95.0</v>
      </c>
      <c r="D1296" s="170">
        <v>68.0</v>
      </c>
      <c r="E1296" s="170" t="s">
        <v>337</v>
      </c>
      <c r="F1296" s="170" t="s">
        <v>324</v>
      </c>
      <c r="G1296" s="169">
        <v>46083.0</v>
      </c>
      <c r="H1296" s="159" t="s">
        <v>69</v>
      </c>
      <c r="I1296" s="164"/>
    </row>
    <row r="1297" ht="15.75" customHeight="1">
      <c r="A1297" s="78">
        <v>1293.0</v>
      </c>
      <c r="B1297" s="169">
        <v>46083.0</v>
      </c>
      <c r="C1297" s="164">
        <v>95.0</v>
      </c>
      <c r="D1297" s="170">
        <v>71.0</v>
      </c>
      <c r="E1297" s="170" t="s">
        <v>323</v>
      </c>
      <c r="F1297" s="170" t="s">
        <v>324</v>
      </c>
      <c r="G1297" s="169">
        <v>46083.0</v>
      </c>
      <c r="H1297" s="159" t="s">
        <v>69</v>
      </c>
      <c r="I1297" s="164"/>
    </row>
    <row r="1298" ht="15.75" customHeight="1">
      <c r="A1298" s="78">
        <v>1294.0</v>
      </c>
      <c r="B1298" s="169">
        <v>46083.0</v>
      </c>
      <c r="C1298" s="164">
        <v>100.0</v>
      </c>
      <c r="D1298" s="170">
        <v>123.0</v>
      </c>
      <c r="E1298" s="170" t="s">
        <v>323</v>
      </c>
      <c r="F1298" s="170" t="s">
        <v>324</v>
      </c>
      <c r="G1298" s="169">
        <v>46083.0</v>
      </c>
      <c r="H1298" s="159" t="s">
        <v>69</v>
      </c>
      <c r="I1298" s="164"/>
    </row>
    <row r="1299" ht="15.75" customHeight="1">
      <c r="A1299" s="78">
        <v>1295.0</v>
      </c>
      <c r="B1299" s="169">
        <v>46083.0</v>
      </c>
      <c r="C1299" s="164">
        <v>109.0</v>
      </c>
      <c r="D1299" s="170">
        <v>96.0</v>
      </c>
      <c r="E1299" s="170" t="s">
        <v>337</v>
      </c>
      <c r="F1299" s="170" t="s">
        <v>324</v>
      </c>
      <c r="G1299" s="169">
        <v>46083.0</v>
      </c>
      <c r="H1299" s="159" t="s">
        <v>69</v>
      </c>
      <c r="I1299" s="164"/>
    </row>
    <row r="1300" ht="15.75" customHeight="1">
      <c r="A1300" s="78">
        <v>1296.0</v>
      </c>
      <c r="B1300" s="169">
        <v>46083.0</v>
      </c>
      <c r="C1300" s="164">
        <v>114.0</v>
      </c>
      <c r="D1300" s="170">
        <v>138.0</v>
      </c>
      <c r="E1300" s="170" t="s">
        <v>323</v>
      </c>
      <c r="F1300" s="170" t="s">
        <v>324</v>
      </c>
      <c r="G1300" s="169">
        <v>46083.0</v>
      </c>
      <c r="H1300" s="159" t="s">
        <v>69</v>
      </c>
      <c r="I1300" s="164"/>
    </row>
    <row r="1301" ht="15.75" customHeight="1">
      <c r="A1301" s="78">
        <v>1297.0</v>
      </c>
      <c r="B1301" s="169">
        <v>46084.0</v>
      </c>
      <c r="C1301" s="178">
        <v>33.0</v>
      </c>
      <c r="D1301" s="178">
        <v>4.0</v>
      </c>
      <c r="E1301" s="170" t="s">
        <v>323</v>
      </c>
      <c r="F1301" s="170" t="s">
        <v>324</v>
      </c>
      <c r="G1301" s="169">
        <v>46084.0</v>
      </c>
      <c r="H1301" s="159" t="s">
        <v>69</v>
      </c>
      <c r="I1301" s="164"/>
    </row>
    <row r="1302" ht="15.75" customHeight="1">
      <c r="A1302" s="78">
        <v>1298.0</v>
      </c>
      <c r="B1302" s="169">
        <v>46084.0</v>
      </c>
      <c r="C1302" s="178">
        <v>67.0</v>
      </c>
      <c r="D1302" s="178">
        <v>27.0</v>
      </c>
      <c r="E1302" s="170" t="s">
        <v>323</v>
      </c>
      <c r="F1302" s="170" t="s">
        <v>324</v>
      </c>
      <c r="G1302" s="169">
        <v>46084.0</v>
      </c>
      <c r="H1302" s="159" t="s">
        <v>69</v>
      </c>
      <c r="I1302" s="164"/>
    </row>
    <row r="1303" ht="15.75" customHeight="1">
      <c r="A1303" s="78">
        <v>1299.0</v>
      </c>
      <c r="B1303" s="169">
        <v>46084.0</v>
      </c>
      <c r="C1303" s="178">
        <v>70.0</v>
      </c>
      <c r="D1303" s="178">
        <v>26.0</v>
      </c>
      <c r="E1303" s="170" t="s">
        <v>323</v>
      </c>
      <c r="F1303" s="170" t="s">
        <v>324</v>
      </c>
      <c r="G1303" s="169">
        <v>46084.0</v>
      </c>
      <c r="H1303" s="159" t="s">
        <v>69</v>
      </c>
      <c r="I1303" s="164"/>
    </row>
    <row r="1304" ht="15.75" customHeight="1">
      <c r="A1304" s="78">
        <v>1300.0</v>
      </c>
      <c r="B1304" s="169">
        <v>46084.0</v>
      </c>
      <c r="C1304" s="178">
        <v>81.0</v>
      </c>
      <c r="D1304" s="178">
        <v>125.0</v>
      </c>
      <c r="E1304" s="170" t="s">
        <v>323</v>
      </c>
      <c r="F1304" s="170" t="s">
        <v>324</v>
      </c>
      <c r="G1304" s="169">
        <v>46084.0</v>
      </c>
      <c r="H1304" s="159" t="s">
        <v>69</v>
      </c>
      <c r="I1304" s="164"/>
    </row>
    <row r="1305" ht="15.75" customHeight="1">
      <c r="A1305" s="78">
        <v>1301.0</v>
      </c>
      <c r="B1305" s="169">
        <v>46084.0</v>
      </c>
      <c r="C1305" s="178">
        <v>90.0</v>
      </c>
      <c r="D1305" s="178">
        <v>99.0</v>
      </c>
      <c r="E1305" s="170" t="s">
        <v>323</v>
      </c>
      <c r="F1305" s="170" t="s">
        <v>324</v>
      </c>
      <c r="G1305" s="169">
        <v>46084.0</v>
      </c>
      <c r="H1305" s="159" t="s">
        <v>69</v>
      </c>
      <c r="I1305" s="164"/>
    </row>
    <row r="1306" ht="15.75" customHeight="1">
      <c r="A1306" s="78">
        <v>1302.0</v>
      </c>
      <c r="B1306" s="169">
        <v>46085.0</v>
      </c>
      <c r="C1306" s="178">
        <v>5.0</v>
      </c>
      <c r="D1306" s="170">
        <v>2.0</v>
      </c>
      <c r="E1306" s="170" t="s">
        <v>323</v>
      </c>
      <c r="F1306" s="170" t="s">
        <v>324</v>
      </c>
      <c r="G1306" s="169">
        <v>46085.0</v>
      </c>
      <c r="H1306" s="159" t="s">
        <v>69</v>
      </c>
      <c r="I1306" s="164"/>
    </row>
    <row r="1307" ht="15.75" customHeight="1">
      <c r="A1307" s="78">
        <v>1303.0</v>
      </c>
      <c r="B1307" s="169">
        <v>46085.0</v>
      </c>
      <c r="C1307" s="178">
        <v>54.0</v>
      </c>
      <c r="D1307" s="170">
        <v>114.0</v>
      </c>
      <c r="E1307" s="170" t="s">
        <v>336</v>
      </c>
      <c r="F1307" s="170" t="s">
        <v>324</v>
      </c>
      <c r="G1307" s="169">
        <v>46085.0</v>
      </c>
      <c r="H1307" s="159" t="s">
        <v>69</v>
      </c>
      <c r="I1307" s="164"/>
    </row>
    <row r="1308" ht="15.75" customHeight="1">
      <c r="A1308" s="78">
        <v>1304.0</v>
      </c>
      <c r="B1308" s="169">
        <v>46085.0</v>
      </c>
      <c r="C1308" s="178">
        <v>80.0</v>
      </c>
      <c r="D1308" s="170">
        <v>3.0</v>
      </c>
      <c r="E1308" s="170" t="s">
        <v>323</v>
      </c>
      <c r="F1308" s="170" t="s">
        <v>324</v>
      </c>
      <c r="G1308" s="169">
        <v>46085.0</v>
      </c>
      <c r="H1308" s="159" t="s">
        <v>69</v>
      </c>
      <c r="I1308" s="164"/>
    </row>
    <row r="1309" ht="15.75" customHeight="1">
      <c r="A1309" s="78">
        <v>1305.0</v>
      </c>
      <c r="B1309" s="169">
        <v>46085.0</v>
      </c>
      <c r="C1309" s="178">
        <v>80.0</v>
      </c>
      <c r="D1309" s="170">
        <v>59.0</v>
      </c>
      <c r="E1309" s="170" t="s">
        <v>323</v>
      </c>
      <c r="F1309" s="170" t="s">
        <v>324</v>
      </c>
      <c r="G1309" s="169">
        <v>46085.0</v>
      </c>
      <c r="H1309" s="159" t="s">
        <v>69</v>
      </c>
      <c r="I1309" s="164"/>
    </row>
    <row r="1310" ht="15.75" customHeight="1">
      <c r="A1310" s="78">
        <v>1306.0</v>
      </c>
      <c r="B1310" s="169">
        <v>46085.0</v>
      </c>
      <c r="C1310" s="178">
        <v>101.0</v>
      </c>
      <c r="D1310" s="170">
        <v>49.0</v>
      </c>
      <c r="E1310" s="170" t="s">
        <v>337</v>
      </c>
      <c r="F1310" s="170" t="s">
        <v>324</v>
      </c>
      <c r="G1310" s="169">
        <v>46085.0</v>
      </c>
      <c r="H1310" s="159" t="s">
        <v>69</v>
      </c>
      <c r="I1310" s="164"/>
    </row>
    <row r="1311" ht="15.75" customHeight="1">
      <c r="A1311" s="78">
        <v>1307.0</v>
      </c>
      <c r="B1311" s="169">
        <v>46085.0</v>
      </c>
      <c r="C1311" s="178">
        <v>109.0</v>
      </c>
      <c r="D1311" s="170">
        <v>25.0</v>
      </c>
      <c r="E1311" s="170" t="s">
        <v>337</v>
      </c>
      <c r="F1311" s="170" t="s">
        <v>324</v>
      </c>
      <c r="G1311" s="169">
        <v>46085.0</v>
      </c>
      <c r="H1311" s="159" t="s">
        <v>69</v>
      </c>
      <c r="I1311" s="164"/>
    </row>
    <row r="1312" ht="15.75" customHeight="1">
      <c r="A1312" s="78">
        <v>1308.0</v>
      </c>
      <c r="B1312" s="169">
        <v>46085.0</v>
      </c>
      <c r="C1312" s="178">
        <v>109.0</v>
      </c>
      <c r="D1312" s="170">
        <v>65.0</v>
      </c>
      <c r="E1312" s="170" t="s">
        <v>323</v>
      </c>
      <c r="F1312" s="170" t="s">
        <v>324</v>
      </c>
      <c r="G1312" s="169">
        <v>46085.0</v>
      </c>
      <c r="H1312" s="159" t="s">
        <v>69</v>
      </c>
      <c r="I1312" s="164"/>
    </row>
    <row r="1313" ht="15.75" customHeight="1">
      <c r="A1313" s="78">
        <v>1309.0</v>
      </c>
      <c r="B1313" s="169">
        <v>46085.0</v>
      </c>
      <c r="C1313" s="178">
        <v>109.0</v>
      </c>
      <c r="D1313" s="170">
        <v>87.0</v>
      </c>
      <c r="E1313" s="170" t="s">
        <v>337</v>
      </c>
      <c r="F1313" s="170" t="s">
        <v>324</v>
      </c>
      <c r="G1313" s="169">
        <v>46085.0</v>
      </c>
      <c r="H1313" s="159" t="s">
        <v>69</v>
      </c>
      <c r="I1313" s="164"/>
    </row>
    <row r="1314" ht="15.75" customHeight="1">
      <c r="A1314" s="171">
        <v>1310.0</v>
      </c>
      <c r="B1314" s="172">
        <v>46085.0</v>
      </c>
      <c r="C1314" s="179">
        <v>121.0</v>
      </c>
      <c r="D1314" s="174">
        <v>98.0</v>
      </c>
      <c r="E1314" s="174" t="s">
        <v>310</v>
      </c>
      <c r="F1314" s="177"/>
      <c r="G1314" s="172"/>
      <c r="H1314" s="175" t="s">
        <v>286</v>
      </c>
      <c r="I1314" s="174" t="s">
        <v>394</v>
      </c>
    </row>
    <row r="1315" ht="15.75" customHeight="1">
      <c r="A1315" s="78">
        <v>1311.0</v>
      </c>
      <c r="B1315" s="169">
        <v>46085.0</v>
      </c>
      <c r="C1315" s="178">
        <v>95.0</v>
      </c>
      <c r="D1315" s="170">
        <v>68.0</v>
      </c>
      <c r="E1315" s="170" t="s">
        <v>323</v>
      </c>
      <c r="F1315" s="170" t="s">
        <v>324</v>
      </c>
      <c r="G1315" s="169">
        <v>46085.0</v>
      </c>
      <c r="H1315" s="159" t="s">
        <v>69</v>
      </c>
      <c r="I1315" s="164"/>
    </row>
    <row r="1316" ht="15.75" customHeight="1">
      <c r="A1316" s="78">
        <v>1312.0</v>
      </c>
      <c r="B1316" s="169">
        <v>46086.0</v>
      </c>
      <c r="C1316" s="178">
        <v>22.0</v>
      </c>
      <c r="D1316" s="170">
        <v>17.0</v>
      </c>
      <c r="E1316" s="170" t="s">
        <v>337</v>
      </c>
      <c r="F1316" s="170" t="s">
        <v>324</v>
      </c>
      <c r="G1316" s="169">
        <v>46086.0</v>
      </c>
      <c r="H1316" s="159" t="s">
        <v>69</v>
      </c>
      <c r="I1316" s="164"/>
    </row>
    <row r="1317" ht="15.75" customHeight="1">
      <c r="A1317" s="171">
        <v>1313.0</v>
      </c>
      <c r="B1317" s="172">
        <v>46086.0</v>
      </c>
      <c r="C1317" s="179">
        <v>30.0</v>
      </c>
      <c r="D1317" s="174">
        <v>128.0</v>
      </c>
      <c r="E1317" s="174" t="s">
        <v>322</v>
      </c>
      <c r="F1317" s="180"/>
      <c r="G1317" s="172"/>
      <c r="H1317" s="175" t="s">
        <v>286</v>
      </c>
      <c r="I1317" s="181" t="s">
        <v>399</v>
      </c>
    </row>
    <row r="1318" ht="15.75" customHeight="1">
      <c r="A1318" s="78">
        <v>1314.0</v>
      </c>
      <c r="B1318" s="169">
        <v>46086.0</v>
      </c>
      <c r="C1318" s="178">
        <v>45.0</v>
      </c>
      <c r="D1318" s="170">
        <v>9.0</v>
      </c>
      <c r="E1318" s="170" t="s">
        <v>323</v>
      </c>
      <c r="F1318" s="170" t="s">
        <v>324</v>
      </c>
      <c r="G1318" s="169">
        <v>46086.0</v>
      </c>
      <c r="H1318" s="159" t="s">
        <v>69</v>
      </c>
      <c r="I1318" s="164"/>
    </row>
    <row r="1319" ht="15.75" customHeight="1">
      <c r="A1319" s="78">
        <v>1315.0</v>
      </c>
      <c r="B1319" s="169">
        <v>46086.0</v>
      </c>
      <c r="C1319" s="178">
        <v>74.0</v>
      </c>
      <c r="D1319" s="170">
        <v>49.0</v>
      </c>
      <c r="E1319" s="170" t="s">
        <v>323</v>
      </c>
      <c r="F1319" s="170" t="s">
        <v>324</v>
      </c>
      <c r="G1319" s="169">
        <v>46086.0</v>
      </c>
      <c r="H1319" s="159" t="s">
        <v>69</v>
      </c>
      <c r="I1319" s="164"/>
    </row>
    <row r="1320" ht="15.75" customHeight="1">
      <c r="A1320" s="78">
        <v>1316.0</v>
      </c>
      <c r="B1320" s="169">
        <v>46086.0</v>
      </c>
      <c r="C1320" s="178">
        <v>65.0</v>
      </c>
      <c r="D1320" s="170">
        <v>109.0</v>
      </c>
      <c r="E1320" s="170" t="s">
        <v>323</v>
      </c>
      <c r="F1320" s="170" t="s">
        <v>324</v>
      </c>
      <c r="G1320" s="169">
        <v>46086.0</v>
      </c>
      <c r="H1320" s="159" t="s">
        <v>69</v>
      </c>
      <c r="I1320" s="164"/>
    </row>
    <row r="1321" ht="15.75" customHeight="1">
      <c r="A1321" s="78">
        <v>1317.0</v>
      </c>
      <c r="B1321" s="169">
        <v>46086.0</v>
      </c>
      <c r="C1321" s="178">
        <v>114.0</v>
      </c>
      <c r="D1321" s="170">
        <v>24.0</v>
      </c>
      <c r="E1321" s="170" t="s">
        <v>323</v>
      </c>
      <c r="F1321" s="170" t="s">
        <v>324</v>
      </c>
      <c r="G1321" s="169">
        <v>46086.0</v>
      </c>
      <c r="H1321" s="159" t="s">
        <v>69</v>
      </c>
      <c r="I1321" s="164"/>
    </row>
    <row r="1322" ht="15.75" customHeight="1">
      <c r="A1322" s="78">
        <v>1318.0</v>
      </c>
      <c r="B1322" s="169">
        <v>46086.0</v>
      </c>
      <c r="C1322" s="178">
        <v>95.0</v>
      </c>
      <c r="D1322" s="170">
        <v>58.0</v>
      </c>
      <c r="E1322" s="170" t="s">
        <v>323</v>
      </c>
      <c r="F1322" s="170" t="s">
        <v>324</v>
      </c>
      <c r="G1322" s="169">
        <v>46086.0</v>
      </c>
      <c r="H1322" s="159" t="s">
        <v>69</v>
      </c>
      <c r="I1322" s="164"/>
    </row>
    <row r="1323" ht="15.75" customHeight="1">
      <c r="A1323" s="78">
        <v>1319.0</v>
      </c>
      <c r="B1323" s="169">
        <v>46087.0</v>
      </c>
      <c r="C1323" s="182">
        <v>18.0</v>
      </c>
      <c r="D1323" s="170">
        <v>85.0</v>
      </c>
      <c r="E1323" s="170" t="s">
        <v>322</v>
      </c>
      <c r="F1323" s="178" t="s">
        <v>320</v>
      </c>
      <c r="G1323" s="169">
        <v>46087.0</v>
      </c>
      <c r="H1323" s="159" t="s">
        <v>69</v>
      </c>
      <c r="I1323" s="164"/>
    </row>
    <row r="1324" ht="15.75" customHeight="1">
      <c r="A1324" s="78">
        <v>1320.0</v>
      </c>
      <c r="B1324" s="169">
        <v>46087.0</v>
      </c>
      <c r="C1324" s="182">
        <v>74.0</v>
      </c>
      <c r="D1324" s="170">
        <v>27.0</v>
      </c>
      <c r="E1324" s="170" t="s">
        <v>323</v>
      </c>
      <c r="F1324" s="178" t="s">
        <v>324</v>
      </c>
      <c r="G1324" s="169">
        <v>46087.0</v>
      </c>
      <c r="H1324" s="159" t="s">
        <v>69</v>
      </c>
      <c r="I1324" s="164"/>
    </row>
    <row r="1325" ht="15.75" customHeight="1">
      <c r="A1325" s="78">
        <v>1321.0</v>
      </c>
      <c r="B1325" s="169">
        <v>46088.0</v>
      </c>
      <c r="C1325" s="182">
        <v>18.0</v>
      </c>
      <c r="D1325" s="170">
        <v>85.0</v>
      </c>
      <c r="E1325" s="170" t="s">
        <v>322</v>
      </c>
      <c r="F1325" s="170" t="s">
        <v>312</v>
      </c>
      <c r="G1325" s="169">
        <v>46088.0</v>
      </c>
      <c r="H1325" s="159" t="s">
        <v>69</v>
      </c>
      <c r="I1325" s="164"/>
    </row>
    <row r="1326" ht="15.75" customHeight="1">
      <c r="A1326" s="78">
        <v>1322.0</v>
      </c>
      <c r="B1326" s="169">
        <v>46088.0</v>
      </c>
      <c r="C1326" s="182">
        <v>22.0</v>
      </c>
      <c r="D1326" s="170">
        <v>15.0</v>
      </c>
      <c r="E1326" s="170" t="s">
        <v>323</v>
      </c>
      <c r="F1326" s="170" t="s">
        <v>324</v>
      </c>
      <c r="G1326" s="169">
        <v>46088.0</v>
      </c>
      <c r="H1326" s="159" t="s">
        <v>69</v>
      </c>
      <c r="I1326" s="164"/>
    </row>
    <row r="1327" ht="15.75" customHeight="1">
      <c r="A1327" s="171">
        <v>1323.0</v>
      </c>
      <c r="B1327" s="172">
        <v>46088.0</v>
      </c>
      <c r="C1327" s="174">
        <v>23.0</v>
      </c>
      <c r="D1327" s="174">
        <v>3.0</v>
      </c>
      <c r="E1327" s="174" t="s">
        <v>310</v>
      </c>
      <c r="F1327" s="181" t="s">
        <v>399</v>
      </c>
      <c r="G1327" s="183"/>
      <c r="H1327" s="175" t="s">
        <v>286</v>
      </c>
      <c r="I1327" s="179" t="s">
        <v>400</v>
      </c>
    </row>
    <row r="1328" ht="15.75" customHeight="1">
      <c r="A1328" s="171">
        <v>1325.0</v>
      </c>
      <c r="B1328" s="172">
        <v>46088.0</v>
      </c>
      <c r="C1328" s="174">
        <v>48.0</v>
      </c>
      <c r="D1328" s="174">
        <v>57.0</v>
      </c>
      <c r="E1328" s="174" t="s">
        <v>310</v>
      </c>
      <c r="F1328" s="174" t="s">
        <v>387</v>
      </c>
      <c r="G1328" s="183"/>
      <c r="H1328" s="175" t="s">
        <v>286</v>
      </c>
      <c r="I1328" s="179" t="s">
        <v>387</v>
      </c>
    </row>
    <row r="1329" ht="15.75" customHeight="1">
      <c r="A1329" s="78">
        <v>1328.0</v>
      </c>
      <c r="B1329" s="169">
        <v>46088.0</v>
      </c>
      <c r="C1329" s="182">
        <v>74.0</v>
      </c>
      <c r="D1329" s="170">
        <v>27.0</v>
      </c>
      <c r="E1329" s="170" t="s">
        <v>323</v>
      </c>
      <c r="F1329" s="170" t="s">
        <v>324</v>
      </c>
      <c r="G1329" s="169">
        <v>46088.0</v>
      </c>
      <c r="H1329" s="77" t="s">
        <v>69</v>
      </c>
      <c r="I1329" s="164"/>
    </row>
    <row r="1330" ht="15.75" customHeight="1">
      <c r="A1330" s="78">
        <v>1329.0</v>
      </c>
      <c r="B1330" s="169">
        <v>46088.0</v>
      </c>
      <c r="C1330" s="184">
        <v>94.0</v>
      </c>
      <c r="D1330" s="170">
        <v>128.0</v>
      </c>
      <c r="E1330" s="170" t="s">
        <v>323</v>
      </c>
      <c r="F1330" s="170" t="s">
        <v>324</v>
      </c>
      <c r="G1330" s="169">
        <v>46088.0</v>
      </c>
      <c r="H1330" s="77" t="s">
        <v>254</v>
      </c>
      <c r="I1330" s="164"/>
    </row>
    <row r="1331" ht="15.75" customHeight="1">
      <c r="A1331" s="78">
        <v>1330.0</v>
      </c>
      <c r="B1331" s="169">
        <v>46088.0</v>
      </c>
      <c r="C1331" s="182">
        <v>102.0</v>
      </c>
      <c r="D1331" s="170">
        <v>106.0</v>
      </c>
      <c r="E1331" s="170" t="s">
        <v>323</v>
      </c>
      <c r="F1331" s="170" t="s">
        <v>324</v>
      </c>
      <c r="G1331" s="169">
        <v>46088.0</v>
      </c>
      <c r="H1331" s="77" t="s">
        <v>69</v>
      </c>
      <c r="I1331" s="164"/>
    </row>
    <row r="1332" ht="15.75" customHeight="1">
      <c r="A1332" s="78">
        <v>1333.0</v>
      </c>
      <c r="B1332" s="169">
        <v>46090.0</v>
      </c>
      <c r="C1332" s="182">
        <v>30.0</v>
      </c>
      <c r="D1332" s="170">
        <v>125.0</v>
      </c>
      <c r="E1332" s="170" t="s">
        <v>323</v>
      </c>
      <c r="F1332" s="170" t="s">
        <v>324</v>
      </c>
      <c r="G1332" s="169">
        <v>46090.0</v>
      </c>
      <c r="H1332" s="77" t="s">
        <v>69</v>
      </c>
      <c r="I1332" s="164"/>
    </row>
    <row r="1333" ht="15.75" customHeight="1">
      <c r="A1333" s="78">
        <v>1338.0</v>
      </c>
      <c r="B1333" s="169">
        <v>46090.0</v>
      </c>
      <c r="C1333" s="182">
        <v>80.0</v>
      </c>
      <c r="D1333" s="170">
        <v>39.0</v>
      </c>
      <c r="E1333" s="170" t="s">
        <v>323</v>
      </c>
      <c r="F1333" s="170" t="s">
        <v>324</v>
      </c>
      <c r="G1333" s="169">
        <v>46090.0</v>
      </c>
      <c r="H1333" s="77" t="s">
        <v>69</v>
      </c>
      <c r="I1333" s="164"/>
    </row>
    <row r="1334" ht="15.75" customHeight="1">
      <c r="A1334" s="78">
        <v>1339.0</v>
      </c>
      <c r="B1334" s="169">
        <v>46090.0</v>
      </c>
      <c r="C1334" s="182">
        <v>80.0</v>
      </c>
      <c r="D1334" s="170">
        <v>59.0</v>
      </c>
      <c r="E1334" s="170" t="s">
        <v>323</v>
      </c>
      <c r="F1334" s="170" t="s">
        <v>324</v>
      </c>
      <c r="G1334" s="169">
        <v>46090.0</v>
      </c>
      <c r="H1334" s="77" t="s">
        <v>69</v>
      </c>
      <c r="I1334" s="164"/>
    </row>
    <row r="1335" ht="15.75" customHeight="1">
      <c r="A1335" s="78">
        <v>1340.0</v>
      </c>
      <c r="B1335" s="169">
        <v>46090.0</v>
      </c>
      <c r="C1335" s="182">
        <v>80.0</v>
      </c>
      <c r="D1335" s="170">
        <v>106.0</v>
      </c>
      <c r="E1335" s="170" t="s">
        <v>323</v>
      </c>
      <c r="F1335" s="170" t="s">
        <v>324</v>
      </c>
      <c r="G1335" s="169">
        <v>46090.0</v>
      </c>
      <c r="H1335" s="77" t="s">
        <v>69</v>
      </c>
      <c r="I1335" s="164"/>
    </row>
    <row r="1336" ht="15.75" customHeight="1">
      <c r="A1336" s="78">
        <v>1341.0</v>
      </c>
      <c r="B1336" s="169">
        <v>46090.0</v>
      </c>
      <c r="C1336" s="182">
        <v>109.0</v>
      </c>
      <c r="D1336" s="170">
        <v>25.0</v>
      </c>
      <c r="E1336" s="170" t="s">
        <v>323</v>
      </c>
      <c r="F1336" s="170" t="s">
        <v>324</v>
      </c>
      <c r="G1336" s="169">
        <v>46090.0</v>
      </c>
      <c r="H1336" s="77" t="s">
        <v>69</v>
      </c>
      <c r="I1336" s="164"/>
    </row>
    <row r="1337" ht="15.75" customHeight="1">
      <c r="A1337" s="78">
        <v>1342.0</v>
      </c>
      <c r="B1337" s="169">
        <v>46090.0</v>
      </c>
      <c r="C1337" s="182">
        <v>109.0</v>
      </c>
      <c r="D1337" s="170">
        <v>87.0</v>
      </c>
      <c r="E1337" s="170" t="s">
        <v>323</v>
      </c>
      <c r="F1337" s="170" t="s">
        <v>324</v>
      </c>
      <c r="G1337" s="169">
        <v>46090.0</v>
      </c>
      <c r="H1337" s="77" t="s">
        <v>69</v>
      </c>
      <c r="I1337" s="164"/>
    </row>
    <row r="1338" ht="15.75" customHeight="1">
      <c r="A1338" s="78">
        <v>1344.0</v>
      </c>
      <c r="B1338" s="169">
        <v>46090.0</v>
      </c>
      <c r="C1338" s="182">
        <v>95.0</v>
      </c>
      <c r="D1338" s="170">
        <v>102.0</v>
      </c>
      <c r="E1338" s="170" t="s">
        <v>323</v>
      </c>
      <c r="F1338" s="170" t="s">
        <v>324</v>
      </c>
      <c r="G1338" s="169">
        <v>46090.0</v>
      </c>
      <c r="H1338" s="77" t="s">
        <v>69</v>
      </c>
      <c r="I1338" s="164"/>
    </row>
    <row r="1339" ht="15.75" customHeight="1">
      <c r="A1339" s="78">
        <v>1345.0</v>
      </c>
      <c r="B1339" s="169">
        <v>46090.0</v>
      </c>
      <c r="C1339" s="182">
        <v>95.0</v>
      </c>
      <c r="D1339" s="170">
        <v>135.0</v>
      </c>
      <c r="E1339" s="170" t="s">
        <v>323</v>
      </c>
      <c r="F1339" s="170" t="s">
        <v>324</v>
      </c>
      <c r="G1339" s="169">
        <v>46090.0</v>
      </c>
      <c r="H1339" s="77" t="s">
        <v>69</v>
      </c>
      <c r="I1339" s="164"/>
    </row>
    <row r="1340" ht="15.75" customHeight="1">
      <c r="A1340" s="171">
        <v>1346.0</v>
      </c>
      <c r="B1340" s="172">
        <v>46090.0</v>
      </c>
      <c r="C1340" s="174">
        <v>130.0</v>
      </c>
      <c r="D1340" s="174">
        <v>103.0</v>
      </c>
      <c r="E1340" s="174" t="s">
        <v>310</v>
      </c>
      <c r="F1340" s="179" t="s">
        <v>399</v>
      </c>
      <c r="G1340" s="172">
        <v>46090.0</v>
      </c>
      <c r="H1340" s="175" t="s">
        <v>286</v>
      </c>
      <c r="I1340" s="164"/>
    </row>
    <row r="1341" ht="15.75" customHeight="1">
      <c r="A1341" s="78">
        <v>1348.0</v>
      </c>
      <c r="B1341" s="169">
        <v>46091.0</v>
      </c>
      <c r="C1341" s="182">
        <v>23.0</v>
      </c>
      <c r="D1341" s="170">
        <v>54.0</v>
      </c>
      <c r="E1341" s="170" t="s">
        <v>323</v>
      </c>
      <c r="F1341" s="170" t="s">
        <v>324</v>
      </c>
      <c r="G1341" s="169">
        <v>46091.0</v>
      </c>
      <c r="H1341" s="77" t="s">
        <v>69</v>
      </c>
      <c r="I1341" s="164"/>
    </row>
    <row r="1342" ht="15.75" customHeight="1">
      <c r="A1342" s="78">
        <v>1351.0</v>
      </c>
      <c r="B1342" s="169">
        <v>46091.0</v>
      </c>
      <c r="C1342" s="182">
        <v>35.0</v>
      </c>
      <c r="D1342" s="170">
        <v>55.0</v>
      </c>
      <c r="E1342" s="170" t="s">
        <v>323</v>
      </c>
      <c r="F1342" s="170" t="s">
        <v>401</v>
      </c>
      <c r="G1342" s="169">
        <v>46091.0</v>
      </c>
      <c r="H1342" s="77" t="s">
        <v>69</v>
      </c>
      <c r="I1342" s="164"/>
    </row>
    <row r="1343" ht="15.75" customHeight="1">
      <c r="A1343" s="78">
        <v>1354.0</v>
      </c>
      <c r="B1343" s="169">
        <v>46091.0</v>
      </c>
      <c r="C1343" s="182">
        <v>70.0</v>
      </c>
      <c r="D1343" s="170">
        <v>16.0</v>
      </c>
      <c r="E1343" s="170" t="s">
        <v>323</v>
      </c>
      <c r="F1343" s="170" t="s">
        <v>324</v>
      </c>
      <c r="G1343" s="169">
        <v>46091.0</v>
      </c>
      <c r="H1343" s="77" t="s">
        <v>69</v>
      </c>
      <c r="I1343" s="164"/>
    </row>
    <row r="1344" ht="15.75" customHeight="1">
      <c r="A1344" s="78">
        <v>1355.0</v>
      </c>
      <c r="B1344" s="169">
        <v>46091.0</v>
      </c>
      <c r="C1344" s="182">
        <v>80.0</v>
      </c>
      <c r="D1344" s="170">
        <v>81.0</v>
      </c>
      <c r="E1344" s="170" t="s">
        <v>323</v>
      </c>
      <c r="F1344" s="170" t="s">
        <v>324</v>
      </c>
      <c r="G1344" s="169">
        <v>46091.0</v>
      </c>
      <c r="H1344" s="77" t="s">
        <v>69</v>
      </c>
      <c r="I1344" s="164"/>
    </row>
    <row r="1345" ht="15.75" customHeight="1">
      <c r="A1345" s="78">
        <v>1356.0</v>
      </c>
      <c r="B1345" s="169">
        <v>46091.0</v>
      </c>
      <c r="C1345" s="182">
        <v>81.0</v>
      </c>
      <c r="D1345" s="170">
        <v>109.0</v>
      </c>
      <c r="E1345" s="170" t="s">
        <v>323</v>
      </c>
      <c r="F1345" s="170" t="s">
        <v>324</v>
      </c>
      <c r="G1345" s="169">
        <v>46091.0</v>
      </c>
      <c r="H1345" s="77" t="s">
        <v>69</v>
      </c>
      <c r="I1345" s="164"/>
    </row>
    <row r="1346" ht="15.75" customHeight="1">
      <c r="A1346" s="78">
        <v>1357.0</v>
      </c>
      <c r="B1346" s="169">
        <v>46091.0</v>
      </c>
      <c r="C1346" s="182">
        <v>87.0</v>
      </c>
      <c r="D1346" s="170">
        <v>94.0</v>
      </c>
      <c r="E1346" s="170" t="s">
        <v>323</v>
      </c>
      <c r="F1346" s="170" t="s">
        <v>324</v>
      </c>
      <c r="G1346" s="169">
        <v>46091.0</v>
      </c>
      <c r="H1346" s="77" t="s">
        <v>69</v>
      </c>
      <c r="I1346" s="164"/>
    </row>
    <row r="1347" ht="15.75" customHeight="1">
      <c r="A1347" s="78">
        <v>1358.0</v>
      </c>
      <c r="B1347" s="169">
        <v>46091.0</v>
      </c>
      <c r="C1347" s="182">
        <v>94.0</v>
      </c>
      <c r="D1347" s="170">
        <v>31.0</v>
      </c>
      <c r="E1347" s="170" t="s">
        <v>323</v>
      </c>
      <c r="F1347" s="170" t="s">
        <v>324</v>
      </c>
      <c r="G1347" s="169">
        <v>46091.0</v>
      </c>
      <c r="H1347" s="77" t="s">
        <v>69</v>
      </c>
      <c r="I1347" s="164"/>
    </row>
    <row r="1348" ht="15.75" customHeight="1">
      <c r="A1348" s="171">
        <v>1359.0</v>
      </c>
      <c r="B1348" s="172">
        <v>46091.0</v>
      </c>
      <c r="C1348" s="174">
        <v>94.0</v>
      </c>
      <c r="D1348" s="174">
        <v>138.0</v>
      </c>
      <c r="E1348" s="174" t="s">
        <v>310</v>
      </c>
      <c r="F1348" s="174" t="s">
        <v>402</v>
      </c>
      <c r="G1348" s="172">
        <v>46091.0</v>
      </c>
      <c r="H1348" s="175" t="s">
        <v>286</v>
      </c>
      <c r="I1348" s="164"/>
    </row>
    <row r="1349" ht="15.75" customHeight="1">
      <c r="A1349" s="78">
        <v>1360.0</v>
      </c>
      <c r="B1349" s="169">
        <v>46091.0</v>
      </c>
      <c r="C1349" s="182">
        <v>109.0</v>
      </c>
      <c r="D1349" s="170">
        <v>24.0</v>
      </c>
      <c r="E1349" s="170" t="s">
        <v>323</v>
      </c>
      <c r="F1349" s="170" t="s">
        <v>324</v>
      </c>
      <c r="G1349" s="169">
        <v>46091.0</v>
      </c>
      <c r="H1349" s="77" t="s">
        <v>69</v>
      </c>
      <c r="I1349" s="164"/>
    </row>
    <row r="1350" ht="15.75" customHeight="1">
      <c r="A1350" s="78">
        <v>1362.0</v>
      </c>
      <c r="B1350" s="169">
        <v>46091.0</v>
      </c>
      <c r="C1350" s="182">
        <v>123.0</v>
      </c>
      <c r="D1350" s="170">
        <v>3.0</v>
      </c>
      <c r="E1350" s="170" t="s">
        <v>322</v>
      </c>
      <c r="F1350" s="170" t="s">
        <v>324</v>
      </c>
      <c r="G1350" s="169">
        <v>46091.0</v>
      </c>
      <c r="H1350" s="77" t="s">
        <v>69</v>
      </c>
      <c r="I1350" s="164"/>
    </row>
    <row r="1351" ht="15.75" customHeight="1">
      <c r="A1351" s="78">
        <v>1363.0</v>
      </c>
      <c r="B1351" s="169">
        <v>46091.0</v>
      </c>
      <c r="C1351" s="182">
        <v>123.0</v>
      </c>
      <c r="D1351" s="170">
        <v>71.0</v>
      </c>
      <c r="E1351" s="170" t="s">
        <v>323</v>
      </c>
      <c r="F1351" s="176" t="s">
        <v>324</v>
      </c>
      <c r="G1351" s="169">
        <v>46091.0</v>
      </c>
      <c r="H1351" s="77" t="s">
        <v>69</v>
      </c>
      <c r="I1351" s="164"/>
    </row>
    <row r="1352" ht="15.75" customHeight="1">
      <c r="A1352" s="78">
        <v>1364.0</v>
      </c>
      <c r="B1352" s="169">
        <v>46092.0</v>
      </c>
      <c r="C1352" s="182">
        <v>17.0</v>
      </c>
      <c r="D1352" s="170">
        <v>65.0</v>
      </c>
      <c r="E1352" s="170" t="s">
        <v>322</v>
      </c>
      <c r="F1352" s="170" t="s">
        <v>312</v>
      </c>
      <c r="G1352" s="169">
        <v>46092.0</v>
      </c>
      <c r="H1352" s="77" t="s">
        <v>69</v>
      </c>
      <c r="I1352" s="164"/>
    </row>
    <row r="1353" ht="15.75" customHeight="1">
      <c r="A1353" s="78">
        <v>1365.0</v>
      </c>
      <c r="B1353" s="169">
        <v>46092.0</v>
      </c>
      <c r="C1353" s="182">
        <v>17.0</v>
      </c>
      <c r="D1353" s="170">
        <v>68.0</v>
      </c>
      <c r="E1353" s="170" t="s">
        <v>322</v>
      </c>
      <c r="F1353" s="170" t="s">
        <v>312</v>
      </c>
      <c r="G1353" s="169">
        <v>46092.0</v>
      </c>
      <c r="H1353" s="77" t="s">
        <v>69</v>
      </c>
      <c r="I1353" s="164"/>
    </row>
    <row r="1354" ht="15.75" customHeight="1">
      <c r="A1354" s="78">
        <v>1366.0</v>
      </c>
      <c r="B1354" s="169">
        <v>46092.0</v>
      </c>
      <c r="C1354" s="182">
        <v>19.0</v>
      </c>
      <c r="D1354" s="170">
        <v>32.0</v>
      </c>
      <c r="E1354" s="170" t="s">
        <v>335</v>
      </c>
      <c r="F1354" s="170" t="s">
        <v>324</v>
      </c>
      <c r="G1354" s="169">
        <v>46092.0</v>
      </c>
      <c r="H1354" s="77" t="s">
        <v>69</v>
      </c>
      <c r="I1354" s="164"/>
    </row>
    <row r="1355" ht="15.75" customHeight="1">
      <c r="A1355" s="78">
        <v>1367.0</v>
      </c>
      <c r="B1355" s="169">
        <v>46092.0</v>
      </c>
      <c r="C1355" s="182">
        <v>55.0</v>
      </c>
      <c r="D1355" s="170">
        <v>53.0</v>
      </c>
      <c r="E1355" s="170" t="s">
        <v>337</v>
      </c>
      <c r="F1355" s="170" t="s">
        <v>324</v>
      </c>
      <c r="G1355" s="169">
        <v>46092.0</v>
      </c>
      <c r="H1355" s="77" t="s">
        <v>69</v>
      </c>
      <c r="I1355" s="164"/>
    </row>
    <row r="1356" ht="15.75" customHeight="1">
      <c r="A1356" s="78">
        <v>1368.0</v>
      </c>
      <c r="B1356" s="169">
        <v>46092.0</v>
      </c>
      <c r="C1356" s="182">
        <v>81.0</v>
      </c>
      <c r="D1356" s="170">
        <v>83.0</v>
      </c>
      <c r="E1356" s="170" t="s">
        <v>337</v>
      </c>
      <c r="F1356" s="170" t="s">
        <v>324</v>
      </c>
      <c r="G1356" s="169">
        <v>46092.0</v>
      </c>
      <c r="H1356" s="77" t="s">
        <v>69</v>
      </c>
      <c r="I1356" s="164"/>
    </row>
    <row r="1357" ht="15.75" customHeight="1">
      <c r="A1357" s="78">
        <v>1369.0</v>
      </c>
      <c r="B1357" s="169">
        <v>46092.0</v>
      </c>
      <c r="C1357" s="182">
        <v>100.0</v>
      </c>
      <c r="D1357" s="170">
        <v>123.0</v>
      </c>
      <c r="E1357" s="170" t="s">
        <v>323</v>
      </c>
      <c r="F1357" s="170" t="s">
        <v>324</v>
      </c>
      <c r="G1357" s="169">
        <v>46092.0</v>
      </c>
      <c r="H1357" s="77" t="s">
        <v>69</v>
      </c>
      <c r="I1357" s="164"/>
    </row>
    <row r="1358" ht="15.75" customHeight="1">
      <c r="A1358" s="124"/>
      <c r="B1358" s="168"/>
      <c r="C1358" s="185"/>
      <c r="D1358" s="185"/>
      <c r="E1358" s="185"/>
      <c r="F1358" s="185"/>
      <c r="G1358" s="168"/>
      <c r="H1358" s="186"/>
      <c r="I1358" s="185"/>
    </row>
    <row r="1359" ht="15.75" customHeight="1">
      <c r="A1359" s="124"/>
      <c r="B1359" s="168"/>
      <c r="C1359" s="185"/>
      <c r="D1359" s="185"/>
      <c r="E1359" s="185"/>
      <c r="F1359" s="185"/>
      <c r="G1359" s="168"/>
      <c r="H1359" s="186"/>
      <c r="I1359" s="185"/>
    </row>
    <row r="1360" ht="15.75" customHeight="1">
      <c r="A1360" s="124"/>
      <c r="B1360" s="168"/>
      <c r="C1360" s="185"/>
      <c r="D1360" s="185"/>
      <c r="E1360" s="185"/>
      <c r="F1360" s="185"/>
      <c r="G1360" s="168"/>
      <c r="H1360" s="186"/>
      <c r="I1360" s="185"/>
    </row>
    <row r="1361" ht="15.75" customHeight="1">
      <c r="A1361" s="124"/>
      <c r="B1361" s="168"/>
      <c r="C1361" s="185"/>
      <c r="D1361" s="185"/>
      <c r="E1361" s="185"/>
      <c r="F1361" s="185"/>
      <c r="G1361" s="168"/>
      <c r="H1361" s="186"/>
      <c r="I1361" s="185"/>
    </row>
    <row r="1362" ht="15.75" customHeight="1">
      <c r="A1362" s="124"/>
      <c r="B1362" s="168"/>
      <c r="C1362" s="185"/>
      <c r="D1362" s="185"/>
      <c r="E1362" s="185"/>
      <c r="F1362" s="185"/>
      <c r="G1362" s="168"/>
      <c r="H1362" s="186"/>
      <c r="I1362" s="185"/>
    </row>
    <row r="1363" ht="15.75" customHeight="1">
      <c r="A1363" s="124"/>
      <c r="B1363" s="168"/>
      <c r="C1363" s="185"/>
      <c r="D1363" s="185"/>
      <c r="E1363" s="185"/>
      <c r="F1363" s="185"/>
      <c r="G1363" s="168"/>
      <c r="H1363" s="186"/>
      <c r="I1363" s="185"/>
    </row>
    <row r="1364" ht="15.75" customHeight="1">
      <c r="A1364" s="124"/>
      <c r="B1364" s="168"/>
      <c r="C1364" s="185"/>
      <c r="D1364" s="185"/>
      <c r="E1364" s="185"/>
      <c r="F1364" s="185"/>
      <c r="G1364" s="168"/>
      <c r="H1364" s="186"/>
      <c r="I1364" s="185"/>
    </row>
    <row r="1365" ht="15.75" customHeight="1">
      <c r="A1365" s="124"/>
      <c r="B1365" s="168"/>
      <c r="C1365" s="185"/>
      <c r="D1365" s="185"/>
      <c r="E1365" s="185"/>
      <c r="F1365" s="185"/>
      <c r="G1365" s="168"/>
      <c r="H1365" s="186"/>
      <c r="I1365" s="185"/>
    </row>
    <row r="1366" ht="15.75" customHeight="1">
      <c r="A1366" s="124"/>
      <c r="B1366" s="168"/>
      <c r="C1366" s="185"/>
      <c r="D1366" s="185"/>
      <c r="E1366" s="185"/>
      <c r="F1366" s="185"/>
      <c r="G1366" s="168"/>
      <c r="H1366" s="186"/>
      <c r="I1366" s="185"/>
    </row>
    <row r="1367" ht="15.75" customHeight="1">
      <c r="A1367" s="124"/>
      <c r="B1367" s="168"/>
      <c r="C1367" s="185"/>
      <c r="D1367" s="185"/>
      <c r="E1367" s="185"/>
      <c r="F1367" s="185"/>
      <c r="G1367" s="168"/>
      <c r="H1367" s="186"/>
      <c r="I1367" s="185"/>
    </row>
    <row r="1368" ht="15.75" customHeight="1">
      <c r="A1368" s="124"/>
      <c r="B1368" s="168"/>
      <c r="C1368" s="185"/>
      <c r="D1368" s="185"/>
      <c r="E1368" s="185"/>
      <c r="F1368" s="185"/>
      <c r="G1368" s="168"/>
      <c r="H1368" s="186"/>
      <c r="I1368" s="185"/>
    </row>
    <row r="1369" ht="15.75" customHeight="1">
      <c r="A1369" s="124"/>
      <c r="B1369" s="168"/>
      <c r="C1369" s="185"/>
      <c r="D1369" s="185"/>
      <c r="E1369" s="185"/>
      <c r="F1369" s="185"/>
      <c r="G1369" s="168"/>
      <c r="H1369" s="186"/>
      <c r="I1369" s="185"/>
    </row>
    <row r="1370" ht="15.75" customHeight="1">
      <c r="A1370" s="124"/>
      <c r="B1370" s="168"/>
      <c r="C1370" s="185"/>
      <c r="D1370" s="185"/>
      <c r="E1370" s="185"/>
      <c r="F1370" s="185"/>
      <c r="G1370" s="168"/>
      <c r="H1370" s="186"/>
      <c r="I1370" s="185"/>
    </row>
    <row r="1371" ht="15.75" customHeight="1">
      <c r="A1371" s="124"/>
      <c r="B1371" s="168"/>
      <c r="C1371" s="185"/>
      <c r="D1371" s="185"/>
      <c r="E1371" s="185"/>
      <c r="F1371" s="185"/>
      <c r="G1371" s="168"/>
      <c r="H1371" s="186"/>
      <c r="I1371" s="185"/>
    </row>
    <row r="1372" ht="15.75" customHeight="1">
      <c r="A1372" s="124"/>
      <c r="B1372" s="168"/>
      <c r="C1372" s="185"/>
      <c r="D1372" s="185"/>
      <c r="E1372" s="185"/>
      <c r="F1372" s="185"/>
      <c r="G1372" s="168"/>
      <c r="H1372" s="186"/>
      <c r="I1372" s="185"/>
    </row>
    <row r="1373" ht="15.75" customHeight="1">
      <c r="A1373" s="124"/>
      <c r="B1373" s="168"/>
      <c r="C1373" s="185"/>
      <c r="D1373" s="185"/>
      <c r="E1373" s="185"/>
      <c r="F1373" s="185"/>
      <c r="G1373" s="168"/>
      <c r="H1373" s="186"/>
      <c r="I1373" s="185"/>
    </row>
    <row r="1374" ht="15.75" customHeight="1">
      <c r="A1374" s="124"/>
      <c r="B1374" s="168"/>
      <c r="C1374" s="185"/>
      <c r="D1374" s="185"/>
      <c r="E1374" s="185"/>
      <c r="F1374" s="185"/>
      <c r="G1374" s="168"/>
      <c r="H1374" s="186"/>
      <c r="I1374" s="185"/>
    </row>
    <row r="1375" ht="15.75" customHeight="1">
      <c r="A1375" s="124"/>
      <c r="B1375" s="168"/>
      <c r="C1375" s="185"/>
      <c r="D1375" s="185"/>
      <c r="E1375" s="185"/>
      <c r="F1375" s="185"/>
      <c r="G1375" s="168"/>
      <c r="H1375" s="186"/>
      <c r="I1375" s="185"/>
    </row>
    <row r="1376" ht="15.75" customHeight="1">
      <c r="A1376" s="124"/>
      <c r="B1376" s="168"/>
      <c r="C1376" s="185"/>
      <c r="D1376" s="185"/>
      <c r="E1376" s="185"/>
      <c r="F1376" s="185"/>
      <c r="G1376" s="168"/>
      <c r="H1376" s="186"/>
      <c r="I1376" s="185"/>
    </row>
    <row r="1377" ht="15.75" customHeight="1">
      <c r="A1377" s="124"/>
      <c r="B1377" s="168"/>
      <c r="C1377" s="185"/>
      <c r="D1377" s="185"/>
      <c r="E1377" s="185"/>
      <c r="F1377" s="185"/>
      <c r="G1377" s="168"/>
      <c r="H1377" s="186"/>
      <c r="I1377" s="185"/>
    </row>
    <row r="1378" ht="15.75" customHeight="1">
      <c r="A1378" s="124"/>
      <c r="B1378" s="168"/>
      <c r="C1378" s="185"/>
      <c r="D1378" s="185"/>
      <c r="E1378" s="185"/>
      <c r="F1378" s="185"/>
      <c r="G1378" s="168"/>
      <c r="H1378" s="186"/>
      <c r="I1378" s="185"/>
    </row>
    <row r="1379" ht="15.75" customHeight="1">
      <c r="A1379" s="124"/>
      <c r="B1379" s="168"/>
      <c r="C1379" s="185"/>
      <c r="D1379" s="185"/>
      <c r="E1379" s="185"/>
      <c r="F1379" s="185"/>
      <c r="G1379" s="168"/>
      <c r="H1379" s="186"/>
      <c r="I1379" s="185"/>
    </row>
    <row r="1380" ht="15.75" customHeight="1">
      <c r="A1380" s="124"/>
      <c r="B1380" s="168"/>
      <c r="C1380" s="185"/>
      <c r="D1380" s="185"/>
      <c r="E1380" s="185"/>
      <c r="F1380" s="185"/>
      <c r="G1380" s="168"/>
      <c r="H1380" s="186"/>
      <c r="I1380" s="185"/>
    </row>
    <row r="1381" ht="15.75" customHeight="1">
      <c r="A1381" s="124"/>
      <c r="B1381" s="168"/>
      <c r="C1381" s="185"/>
      <c r="D1381" s="185"/>
      <c r="E1381" s="185"/>
      <c r="F1381" s="185"/>
      <c r="G1381" s="168"/>
      <c r="H1381" s="186"/>
      <c r="I1381" s="185"/>
    </row>
    <row r="1382" ht="15.75" customHeight="1">
      <c r="A1382" s="124"/>
      <c r="B1382" s="168"/>
      <c r="C1382" s="185"/>
      <c r="D1382" s="185"/>
      <c r="E1382" s="185"/>
      <c r="F1382" s="185"/>
      <c r="G1382" s="168"/>
      <c r="H1382" s="186"/>
      <c r="I1382" s="185"/>
    </row>
    <row r="1383" ht="15.75" customHeight="1">
      <c r="A1383" s="124"/>
      <c r="B1383" s="168"/>
      <c r="C1383" s="185"/>
      <c r="D1383" s="185"/>
      <c r="E1383" s="185"/>
      <c r="F1383" s="185"/>
      <c r="G1383" s="168"/>
      <c r="H1383" s="186"/>
      <c r="I1383" s="185"/>
    </row>
    <row r="1384" ht="15.75" customHeight="1">
      <c r="A1384" s="124"/>
      <c r="B1384" s="168"/>
      <c r="C1384" s="185"/>
      <c r="D1384" s="185"/>
      <c r="E1384" s="185"/>
      <c r="F1384" s="185"/>
      <c r="G1384" s="168"/>
      <c r="H1384" s="186"/>
      <c r="I1384" s="185"/>
    </row>
    <row r="1385" ht="15.75" customHeight="1">
      <c r="A1385" s="124"/>
      <c r="B1385" s="168"/>
      <c r="C1385" s="185"/>
      <c r="D1385" s="185"/>
      <c r="E1385" s="185"/>
      <c r="F1385" s="185"/>
      <c r="G1385" s="168"/>
      <c r="H1385" s="186"/>
      <c r="I1385" s="185"/>
    </row>
    <row r="1386" ht="15.75" customHeight="1">
      <c r="A1386" s="124"/>
      <c r="B1386" s="168"/>
      <c r="C1386" s="185"/>
      <c r="D1386" s="185"/>
      <c r="E1386" s="185"/>
      <c r="F1386" s="185"/>
      <c r="G1386" s="168"/>
      <c r="H1386" s="186"/>
      <c r="I1386" s="185"/>
    </row>
    <row r="1387" ht="15.75" customHeight="1">
      <c r="A1387" s="124"/>
      <c r="B1387" s="168"/>
      <c r="C1387" s="185"/>
      <c r="D1387" s="185"/>
      <c r="E1387" s="185"/>
      <c r="F1387" s="185"/>
      <c r="G1387" s="168"/>
      <c r="H1387" s="186"/>
      <c r="I1387" s="185"/>
    </row>
    <row r="1388" ht="15.75" customHeight="1">
      <c r="A1388" s="124"/>
      <c r="B1388" s="168"/>
      <c r="C1388" s="185"/>
      <c r="D1388" s="185"/>
      <c r="E1388" s="185"/>
      <c r="F1388" s="185"/>
      <c r="G1388" s="168"/>
      <c r="H1388" s="186"/>
      <c r="I1388" s="185"/>
    </row>
    <row r="1389" ht="15.75" customHeight="1">
      <c r="A1389" s="124"/>
      <c r="B1389" s="168"/>
      <c r="C1389" s="185"/>
      <c r="D1389" s="185"/>
      <c r="E1389" s="185"/>
      <c r="F1389" s="185"/>
      <c r="G1389" s="168"/>
      <c r="H1389" s="186"/>
      <c r="I1389" s="185"/>
    </row>
    <row r="1390" ht="15.75" customHeight="1">
      <c r="A1390" s="124"/>
      <c r="B1390" s="168"/>
      <c r="C1390" s="185"/>
      <c r="D1390" s="185"/>
      <c r="E1390" s="185"/>
      <c r="F1390" s="185"/>
      <c r="G1390" s="168"/>
      <c r="H1390" s="186"/>
      <c r="I1390" s="185"/>
    </row>
    <row r="1391" ht="15.75" customHeight="1">
      <c r="A1391" s="124"/>
      <c r="B1391" s="168"/>
      <c r="C1391" s="185"/>
      <c r="D1391" s="185"/>
      <c r="E1391" s="185"/>
      <c r="F1391" s="185"/>
      <c r="G1391" s="168"/>
      <c r="H1391" s="186"/>
      <c r="I1391" s="185"/>
    </row>
    <row r="1392" ht="15.75" customHeight="1">
      <c r="A1392" s="124"/>
      <c r="B1392" s="168"/>
      <c r="C1392" s="185"/>
      <c r="D1392" s="185"/>
      <c r="E1392" s="185"/>
      <c r="F1392" s="185"/>
      <c r="G1392" s="168"/>
      <c r="H1392" s="186"/>
      <c r="I1392" s="185"/>
    </row>
    <row r="1393" ht="15.75" customHeight="1">
      <c r="A1393" s="124"/>
      <c r="B1393" s="168"/>
      <c r="C1393" s="185"/>
      <c r="D1393" s="185"/>
      <c r="E1393" s="185"/>
      <c r="F1393" s="185"/>
      <c r="G1393" s="168"/>
      <c r="H1393" s="186"/>
      <c r="I1393" s="185"/>
    </row>
    <row r="1394" ht="15.75" customHeight="1">
      <c r="A1394" s="124"/>
      <c r="B1394" s="168"/>
      <c r="C1394" s="185"/>
      <c r="D1394" s="185"/>
      <c r="E1394" s="185"/>
      <c r="F1394" s="185"/>
      <c r="G1394" s="168"/>
      <c r="H1394" s="186"/>
      <c r="I1394" s="185"/>
    </row>
    <row r="1395" ht="15.75" customHeight="1">
      <c r="A1395" s="124"/>
      <c r="B1395" s="168"/>
      <c r="C1395" s="185"/>
      <c r="D1395" s="185"/>
      <c r="E1395" s="185"/>
      <c r="F1395" s="185"/>
      <c r="G1395" s="168"/>
      <c r="H1395" s="186"/>
      <c r="I1395" s="185"/>
    </row>
    <row r="1396" ht="15.75" customHeight="1">
      <c r="A1396" s="124"/>
      <c r="B1396" s="168"/>
      <c r="C1396" s="185"/>
      <c r="D1396" s="185"/>
      <c r="E1396" s="185"/>
      <c r="F1396" s="185"/>
      <c r="G1396" s="168"/>
      <c r="H1396" s="186"/>
      <c r="I1396" s="185"/>
    </row>
    <row r="1397" ht="15.75" customHeight="1">
      <c r="A1397" s="124"/>
      <c r="B1397" s="168"/>
      <c r="C1397" s="185"/>
      <c r="D1397" s="185"/>
      <c r="E1397" s="185"/>
      <c r="F1397" s="185"/>
      <c r="G1397" s="168"/>
      <c r="H1397" s="186"/>
      <c r="I1397" s="185"/>
    </row>
    <row r="1398" ht="15.75" customHeight="1">
      <c r="A1398" s="124"/>
      <c r="B1398" s="168"/>
      <c r="C1398" s="185"/>
      <c r="D1398" s="185"/>
      <c r="E1398" s="185"/>
      <c r="F1398" s="185"/>
      <c r="G1398" s="168"/>
      <c r="H1398" s="186"/>
      <c r="I1398" s="185"/>
    </row>
    <row r="1399" ht="15.75" customHeight="1">
      <c r="A1399" s="124"/>
      <c r="B1399" s="168"/>
      <c r="C1399" s="185"/>
      <c r="D1399" s="185"/>
      <c r="E1399" s="185"/>
      <c r="F1399" s="185"/>
      <c r="G1399" s="168"/>
      <c r="H1399" s="186"/>
      <c r="I1399" s="185"/>
    </row>
    <row r="1400" ht="15.75" customHeight="1">
      <c r="A1400" s="124"/>
      <c r="B1400" s="168"/>
      <c r="C1400" s="185"/>
      <c r="D1400" s="185"/>
      <c r="E1400" s="185"/>
      <c r="F1400" s="185"/>
      <c r="G1400" s="168"/>
      <c r="H1400" s="186"/>
      <c r="I1400" s="185"/>
    </row>
    <row r="1401" ht="15.75" customHeight="1">
      <c r="A1401" s="124"/>
      <c r="B1401" s="168"/>
      <c r="C1401" s="185"/>
      <c r="D1401" s="185"/>
      <c r="E1401" s="185"/>
      <c r="F1401" s="185"/>
      <c r="G1401" s="168"/>
      <c r="H1401" s="186"/>
      <c r="I1401" s="185"/>
    </row>
    <row r="1402" ht="15.75" customHeight="1">
      <c r="A1402" s="124"/>
      <c r="B1402" s="168"/>
      <c r="C1402" s="185"/>
      <c r="D1402" s="185"/>
      <c r="E1402" s="185"/>
      <c r="F1402" s="185"/>
      <c r="G1402" s="168"/>
      <c r="H1402" s="186"/>
      <c r="I1402" s="185"/>
    </row>
    <row r="1403" ht="15.75" customHeight="1">
      <c r="A1403" s="124"/>
      <c r="B1403" s="168"/>
      <c r="C1403" s="185"/>
      <c r="D1403" s="185"/>
      <c r="E1403" s="185"/>
      <c r="F1403" s="185"/>
      <c r="G1403" s="168"/>
      <c r="H1403" s="186"/>
      <c r="I1403" s="185"/>
    </row>
    <row r="1404" ht="15.75" customHeight="1">
      <c r="A1404" s="124"/>
      <c r="B1404" s="168"/>
      <c r="C1404" s="185"/>
      <c r="D1404" s="185"/>
      <c r="E1404" s="185"/>
      <c r="F1404" s="185"/>
      <c r="G1404" s="168"/>
      <c r="H1404" s="186"/>
      <c r="I1404" s="185"/>
    </row>
    <row r="1405" ht="15.75" customHeight="1">
      <c r="A1405" s="124"/>
      <c r="B1405" s="168"/>
      <c r="C1405" s="185"/>
      <c r="D1405" s="185"/>
      <c r="E1405" s="185"/>
      <c r="F1405" s="185"/>
      <c r="G1405" s="168"/>
      <c r="H1405" s="186"/>
      <c r="I1405" s="185"/>
    </row>
    <row r="1406" ht="15.75" customHeight="1">
      <c r="A1406" s="124"/>
      <c r="B1406" s="168"/>
      <c r="C1406" s="185"/>
      <c r="D1406" s="185"/>
      <c r="E1406" s="185"/>
      <c r="F1406" s="185"/>
      <c r="G1406" s="168"/>
      <c r="H1406" s="186"/>
      <c r="I1406" s="185"/>
    </row>
    <row r="1407" ht="15.75" customHeight="1">
      <c r="A1407" s="124"/>
      <c r="B1407" s="168"/>
      <c r="C1407" s="185"/>
      <c r="D1407" s="185"/>
      <c r="E1407" s="185"/>
      <c r="F1407" s="185"/>
      <c r="G1407" s="168"/>
      <c r="H1407" s="186"/>
      <c r="I1407" s="185"/>
    </row>
    <row r="1408" ht="15.75" customHeight="1">
      <c r="A1408" s="124"/>
      <c r="B1408" s="168"/>
      <c r="C1408" s="185"/>
      <c r="D1408" s="185"/>
      <c r="E1408" s="185"/>
      <c r="F1408" s="185"/>
      <c r="G1408" s="168"/>
      <c r="H1408" s="186"/>
      <c r="I1408" s="185"/>
    </row>
    <row r="1409" ht="15.75" customHeight="1">
      <c r="A1409" s="124"/>
      <c r="B1409" s="168"/>
      <c r="C1409" s="185"/>
      <c r="D1409" s="185"/>
      <c r="E1409" s="185"/>
      <c r="F1409" s="185"/>
      <c r="G1409" s="168"/>
      <c r="H1409" s="186"/>
      <c r="I1409" s="185"/>
    </row>
    <row r="1410" ht="15.75" customHeight="1">
      <c r="A1410" s="124"/>
      <c r="B1410" s="168"/>
      <c r="C1410" s="185"/>
      <c r="D1410" s="185"/>
      <c r="E1410" s="185"/>
      <c r="F1410" s="185"/>
      <c r="G1410" s="168"/>
      <c r="H1410" s="186"/>
      <c r="I1410" s="185"/>
    </row>
    <row r="1411" ht="15.75" customHeight="1">
      <c r="A1411" s="124"/>
      <c r="B1411" s="168"/>
      <c r="C1411" s="185"/>
      <c r="D1411" s="185"/>
      <c r="E1411" s="185"/>
      <c r="F1411" s="185"/>
      <c r="G1411" s="168"/>
      <c r="H1411" s="186"/>
      <c r="I1411" s="185"/>
    </row>
    <row r="1412" ht="15.75" customHeight="1">
      <c r="A1412" s="124"/>
      <c r="B1412" s="168"/>
      <c r="C1412" s="185"/>
      <c r="D1412" s="185"/>
      <c r="E1412" s="185"/>
      <c r="F1412" s="185"/>
      <c r="G1412" s="168"/>
      <c r="H1412" s="186"/>
      <c r="I1412" s="185"/>
    </row>
    <row r="1413" ht="15.75" customHeight="1">
      <c r="A1413" s="124"/>
      <c r="B1413" s="168"/>
      <c r="C1413" s="185"/>
      <c r="D1413" s="185"/>
      <c r="E1413" s="185"/>
      <c r="F1413" s="185"/>
      <c r="G1413" s="168"/>
      <c r="H1413" s="186"/>
      <c r="I1413" s="185"/>
    </row>
    <row r="1414" ht="15.75" customHeight="1">
      <c r="A1414" s="124"/>
      <c r="B1414" s="168"/>
      <c r="C1414" s="185"/>
      <c r="D1414" s="185"/>
      <c r="E1414" s="185"/>
      <c r="F1414" s="185"/>
      <c r="G1414" s="168"/>
      <c r="H1414" s="186"/>
      <c r="I1414" s="185"/>
    </row>
    <row r="1415" ht="15.75" customHeight="1">
      <c r="A1415" s="124"/>
      <c r="B1415" s="168"/>
      <c r="C1415" s="185"/>
      <c r="D1415" s="185"/>
      <c r="E1415" s="185"/>
      <c r="F1415" s="185"/>
      <c r="G1415" s="168"/>
      <c r="H1415" s="186"/>
      <c r="I1415" s="185"/>
    </row>
    <row r="1416" ht="15.75" customHeight="1">
      <c r="A1416" s="124"/>
      <c r="B1416" s="168"/>
      <c r="C1416" s="185"/>
      <c r="D1416" s="185"/>
      <c r="E1416" s="185"/>
      <c r="F1416" s="185"/>
      <c r="G1416" s="168"/>
      <c r="H1416" s="186"/>
      <c r="I1416" s="185"/>
    </row>
    <row r="1417" ht="15.75" customHeight="1">
      <c r="A1417" s="124"/>
      <c r="B1417" s="168"/>
      <c r="C1417" s="185"/>
      <c r="D1417" s="185"/>
      <c r="E1417" s="185"/>
      <c r="F1417" s="185"/>
      <c r="G1417" s="168"/>
      <c r="H1417" s="186"/>
      <c r="I1417" s="185"/>
    </row>
    <row r="1418" ht="15.75" customHeight="1">
      <c r="A1418" s="124"/>
      <c r="B1418" s="168"/>
      <c r="C1418" s="185"/>
      <c r="D1418" s="185"/>
      <c r="E1418" s="185"/>
      <c r="F1418" s="185"/>
      <c r="G1418" s="168"/>
      <c r="H1418" s="186"/>
      <c r="I1418" s="185"/>
    </row>
    <row r="1419" ht="15.75" customHeight="1">
      <c r="A1419" s="124"/>
      <c r="B1419" s="168"/>
      <c r="C1419" s="185"/>
      <c r="D1419" s="185"/>
      <c r="E1419" s="185"/>
      <c r="F1419" s="185"/>
      <c r="G1419" s="168"/>
      <c r="H1419" s="186"/>
      <c r="I1419" s="185"/>
    </row>
    <row r="1420" ht="15.75" customHeight="1">
      <c r="A1420" s="124"/>
      <c r="B1420" s="168"/>
      <c r="C1420" s="185"/>
      <c r="D1420" s="185"/>
      <c r="E1420" s="185"/>
      <c r="F1420" s="185"/>
      <c r="G1420" s="168"/>
      <c r="H1420" s="186"/>
      <c r="I1420" s="185"/>
    </row>
    <row r="1421" ht="15.75" customHeight="1">
      <c r="A1421" s="124"/>
      <c r="B1421" s="168"/>
      <c r="C1421" s="185"/>
      <c r="D1421" s="185"/>
      <c r="E1421" s="185"/>
      <c r="F1421" s="185"/>
      <c r="G1421" s="168"/>
      <c r="H1421" s="186"/>
      <c r="I1421" s="185"/>
    </row>
    <row r="1422" ht="15.75" customHeight="1">
      <c r="A1422" s="124"/>
      <c r="B1422" s="168"/>
      <c r="C1422" s="185"/>
      <c r="D1422" s="185"/>
      <c r="E1422" s="185"/>
      <c r="F1422" s="185"/>
      <c r="G1422" s="168"/>
      <c r="H1422" s="186"/>
      <c r="I1422" s="185"/>
    </row>
    <row r="1423" ht="15.75" customHeight="1">
      <c r="A1423" s="124"/>
      <c r="B1423" s="168"/>
      <c r="C1423" s="185"/>
      <c r="D1423" s="185"/>
      <c r="E1423" s="185"/>
      <c r="F1423" s="185"/>
      <c r="G1423" s="168"/>
      <c r="H1423" s="186"/>
      <c r="I1423" s="185"/>
    </row>
    <row r="1424" ht="15.75" customHeight="1">
      <c r="A1424" s="124"/>
      <c r="B1424" s="168"/>
      <c r="C1424" s="185"/>
      <c r="D1424" s="185"/>
      <c r="E1424" s="185"/>
      <c r="F1424" s="185"/>
      <c r="G1424" s="168"/>
      <c r="H1424" s="186"/>
      <c r="I1424" s="185"/>
    </row>
    <row r="1425" ht="15.75" customHeight="1">
      <c r="A1425" s="124"/>
      <c r="B1425" s="168"/>
      <c r="C1425" s="185"/>
      <c r="D1425" s="185"/>
      <c r="E1425" s="185"/>
      <c r="F1425" s="185"/>
      <c r="G1425" s="168"/>
      <c r="H1425" s="186"/>
      <c r="I1425" s="185"/>
    </row>
    <row r="1426" ht="15.75" customHeight="1">
      <c r="A1426" s="124"/>
      <c r="B1426" s="168"/>
      <c r="C1426" s="185"/>
      <c r="D1426" s="185"/>
      <c r="E1426" s="185"/>
      <c r="F1426" s="185"/>
      <c r="G1426" s="168"/>
      <c r="H1426" s="186"/>
      <c r="I1426" s="185"/>
    </row>
    <row r="1427" ht="15.75" customHeight="1">
      <c r="A1427" s="124"/>
      <c r="B1427" s="168"/>
      <c r="C1427" s="185"/>
      <c r="D1427" s="185"/>
      <c r="E1427" s="185"/>
      <c r="F1427" s="185"/>
      <c r="G1427" s="168"/>
      <c r="H1427" s="186"/>
      <c r="I1427" s="185"/>
    </row>
    <row r="1428" ht="15.75" customHeight="1">
      <c r="A1428" s="124"/>
      <c r="B1428" s="168"/>
      <c r="C1428" s="185"/>
      <c r="D1428" s="185"/>
      <c r="E1428" s="185"/>
      <c r="F1428" s="185"/>
      <c r="G1428" s="168"/>
      <c r="H1428" s="186"/>
      <c r="I1428" s="185"/>
    </row>
    <row r="1429" ht="15.75" customHeight="1">
      <c r="A1429" s="124"/>
      <c r="B1429" s="168"/>
      <c r="C1429" s="185"/>
      <c r="D1429" s="185"/>
      <c r="E1429" s="185"/>
      <c r="F1429" s="185"/>
      <c r="G1429" s="168"/>
      <c r="H1429" s="186"/>
      <c r="I1429" s="185"/>
    </row>
    <row r="1430" ht="15.75" customHeight="1">
      <c r="A1430" s="124"/>
      <c r="B1430" s="168"/>
      <c r="C1430" s="185"/>
      <c r="D1430" s="185"/>
      <c r="E1430" s="185"/>
      <c r="F1430" s="185"/>
      <c r="G1430" s="168"/>
      <c r="H1430" s="186"/>
      <c r="I1430" s="185"/>
    </row>
    <row r="1431" ht="15.75" customHeight="1">
      <c r="A1431" s="124"/>
      <c r="B1431" s="168"/>
      <c r="C1431" s="185"/>
      <c r="D1431" s="185"/>
      <c r="E1431" s="185"/>
      <c r="F1431" s="185"/>
      <c r="G1431" s="168"/>
      <c r="H1431" s="186"/>
      <c r="I1431" s="185"/>
    </row>
    <row r="1432" ht="15.75" customHeight="1">
      <c r="A1432" s="124"/>
      <c r="B1432" s="168"/>
      <c r="C1432" s="185"/>
      <c r="D1432" s="185"/>
      <c r="E1432" s="185"/>
      <c r="F1432" s="185"/>
      <c r="G1432" s="168"/>
      <c r="H1432" s="186"/>
      <c r="I1432" s="185"/>
    </row>
    <row r="1433" ht="15.75" customHeight="1">
      <c r="A1433" s="124"/>
      <c r="B1433" s="168"/>
      <c r="C1433" s="185"/>
      <c r="D1433" s="185"/>
      <c r="E1433" s="185"/>
      <c r="F1433" s="185"/>
      <c r="G1433" s="168"/>
      <c r="H1433" s="186"/>
      <c r="I1433" s="185"/>
    </row>
    <row r="1434" ht="15.75" customHeight="1">
      <c r="A1434" s="124"/>
      <c r="B1434" s="168"/>
      <c r="C1434" s="185"/>
      <c r="D1434" s="185"/>
      <c r="E1434" s="185"/>
      <c r="F1434" s="185"/>
      <c r="G1434" s="168"/>
      <c r="H1434" s="186"/>
      <c r="I1434" s="185"/>
    </row>
    <row r="1435" ht="15.75" customHeight="1">
      <c r="A1435" s="124"/>
      <c r="B1435" s="168"/>
      <c r="C1435" s="185"/>
      <c r="D1435" s="185"/>
      <c r="E1435" s="185"/>
      <c r="F1435" s="185"/>
      <c r="G1435" s="168"/>
      <c r="H1435" s="186"/>
      <c r="I1435" s="185"/>
    </row>
    <row r="1436" ht="15.75" customHeight="1">
      <c r="A1436" s="124"/>
      <c r="B1436" s="168"/>
      <c r="C1436" s="185"/>
      <c r="D1436" s="185"/>
      <c r="E1436" s="185"/>
      <c r="F1436" s="185"/>
      <c r="G1436" s="168"/>
      <c r="H1436" s="186"/>
      <c r="I1436" s="185"/>
    </row>
    <row r="1437" ht="15.75" customHeight="1">
      <c r="A1437" s="124"/>
      <c r="B1437" s="168"/>
      <c r="C1437" s="185"/>
      <c r="D1437" s="185"/>
      <c r="E1437" s="185"/>
      <c r="F1437" s="185"/>
      <c r="G1437" s="168"/>
      <c r="H1437" s="186"/>
      <c r="I1437" s="185"/>
    </row>
    <row r="1438" ht="15.75" customHeight="1">
      <c r="A1438" s="124"/>
      <c r="B1438" s="168"/>
      <c r="C1438" s="185"/>
      <c r="D1438" s="185"/>
      <c r="E1438" s="185"/>
      <c r="F1438" s="185"/>
      <c r="G1438" s="168"/>
      <c r="H1438" s="186"/>
      <c r="I1438" s="185"/>
    </row>
    <row r="1439" ht="15.75" customHeight="1">
      <c r="A1439" s="124"/>
      <c r="B1439" s="168"/>
      <c r="C1439" s="185"/>
      <c r="D1439" s="185"/>
      <c r="E1439" s="185"/>
      <c r="F1439" s="185"/>
      <c r="G1439" s="168"/>
      <c r="H1439" s="186"/>
      <c r="I1439" s="185"/>
    </row>
    <row r="1440" ht="15.75" customHeight="1">
      <c r="A1440" s="124"/>
      <c r="B1440" s="168"/>
      <c r="C1440" s="185"/>
      <c r="D1440" s="185"/>
      <c r="E1440" s="185"/>
      <c r="F1440" s="185"/>
      <c r="G1440" s="168"/>
      <c r="H1440" s="186"/>
      <c r="I1440" s="185"/>
    </row>
    <row r="1441" ht="15.75" customHeight="1">
      <c r="A1441" s="124"/>
      <c r="B1441" s="168"/>
      <c r="C1441" s="185"/>
      <c r="D1441" s="185"/>
      <c r="E1441" s="185"/>
      <c r="F1441" s="185"/>
      <c r="G1441" s="168"/>
      <c r="H1441" s="186"/>
      <c r="I1441" s="185"/>
    </row>
    <row r="1442" ht="15.75" customHeight="1">
      <c r="A1442" s="124"/>
      <c r="B1442" s="168"/>
      <c r="C1442" s="185"/>
      <c r="D1442" s="185"/>
      <c r="E1442" s="185"/>
      <c r="F1442" s="185"/>
      <c r="G1442" s="168"/>
      <c r="H1442" s="186"/>
      <c r="I1442" s="185"/>
    </row>
    <row r="1443" ht="15.75" customHeight="1">
      <c r="A1443" s="124"/>
      <c r="B1443" s="168"/>
      <c r="C1443" s="185"/>
      <c r="D1443" s="185"/>
      <c r="E1443" s="185"/>
      <c r="F1443" s="185"/>
      <c r="G1443" s="168"/>
      <c r="H1443" s="186"/>
      <c r="I1443" s="185"/>
    </row>
    <row r="1444" ht="15.75" customHeight="1">
      <c r="A1444" s="124"/>
      <c r="B1444" s="168"/>
      <c r="C1444" s="185"/>
      <c r="D1444" s="185"/>
      <c r="E1444" s="185"/>
      <c r="F1444" s="185"/>
      <c r="G1444" s="168"/>
      <c r="H1444" s="186"/>
      <c r="I1444" s="185"/>
    </row>
    <row r="1445" ht="15.75" customHeight="1">
      <c r="A1445" s="124"/>
      <c r="B1445" s="168"/>
      <c r="C1445" s="185"/>
      <c r="D1445" s="185"/>
      <c r="E1445" s="185"/>
      <c r="F1445" s="185"/>
      <c r="G1445" s="168"/>
      <c r="H1445" s="186"/>
      <c r="I1445" s="185"/>
    </row>
    <row r="1446" ht="15.75" customHeight="1">
      <c r="A1446" s="124"/>
      <c r="B1446" s="168"/>
      <c r="C1446" s="185"/>
      <c r="D1446" s="185"/>
      <c r="E1446" s="185"/>
      <c r="F1446" s="185"/>
      <c r="G1446" s="168"/>
      <c r="H1446" s="186"/>
      <c r="I1446" s="185"/>
    </row>
    <row r="1447" ht="15.75" customHeight="1">
      <c r="A1447" s="124"/>
      <c r="B1447" s="168"/>
      <c r="C1447" s="185"/>
      <c r="D1447" s="185"/>
      <c r="E1447" s="185"/>
      <c r="F1447" s="185"/>
      <c r="G1447" s="168"/>
      <c r="H1447" s="186"/>
      <c r="I1447" s="185"/>
    </row>
    <row r="1448" ht="15.75" customHeight="1">
      <c r="A1448" s="124"/>
      <c r="B1448" s="168"/>
      <c r="C1448" s="185"/>
      <c r="D1448" s="185"/>
      <c r="E1448" s="185"/>
      <c r="F1448" s="185"/>
      <c r="G1448" s="168"/>
      <c r="H1448" s="186"/>
      <c r="I1448" s="185"/>
    </row>
    <row r="1449" ht="15.75" customHeight="1">
      <c r="A1449" s="124"/>
      <c r="B1449" s="168"/>
      <c r="C1449" s="185"/>
      <c r="D1449" s="185"/>
      <c r="E1449" s="185"/>
      <c r="F1449" s="185"/>
      <c r="G1449" s="168"/>
      <c r="H1449" s="186"/>
      <c r="I1449" s="185"/>
    </row>
    <row r="1450" ht="15.75" customHeight="1">
      <c r="A1450" s="124"/>
      <c r="B1450" s="168"/>
      <c r="C1450" s="185"/>
      <c r="D1450" s="185"/>
      <c r="E1450" s="185"/>
      <c r="F1450" s="185"/>
      <c r="G1450" s="168"/>
      <c r="H1450" s="186"/>
      <c r="I1450" s="185"/>
    </row>
    <row r="1451" ht="15.75" customHeight="1">
      <c r="A1451" s="124"/>
      <c r="B1451" s="168"/>
      <c r="C1451" s="185"/>
      <c r="D1451" s="185"/>
      <c r="E1451" s="185"/>
      <c r="F1451" s="185"/>
      <c r="G1451" s="168"/>
      <c r="H1451" s="186"/>
      <c r="I1451" s="185"/>
    </row>
    <row r="1452" ht="15.75" customHeight="1">
      <c r="A1452" s="124"/>
      <c r="B1452" s="168"/>
      <c r="C1452" s="185"/>
      <c r="D1452" s="185"/>
      <c r="E1452" s="185"/>
      <c r="F1452" s="185"/>
      <c r="G1452" s="168"/>
      <c r="H1452" s="186"/>
      <c r="I1452" s="185"/>
    </row>
    <row r="1453" ht="15.75" customHeight="1">
      <c r="A1453" s="124"/>
      <c r="B1453" s="168"/>
      <c r="C1453" s="185"/>
      <c r="D1453" s="185"/>
      <c r="E1453" s="185"/>
      <c r="F1453" s="185"/>
      <c r="G1453" s="168"/>
      <c r="H1453" s="186"/>
      <c r="I1453" s="185"/>
    </row>
    <row r="1454" ht="15.75" customHeight="1">
      <c r="A1454" s="124"/>
      <c r="B1454" s="168"/>
      <c r="C1454" s="185"/>
      <c r="D1454" s="185"/>
      <c r="E1454" s="185"/>
      <c r="F1454" s="185"/>
      <c r="G1454" s="168"/>
      <c r="H1454" s="186"/>
      <c r="I1454" s="185"/>
    </row>
    <row r="1455" ht="15.75" customHeight="1">
      <c r="A1455" s="124"/>
      <c r="B1455" s="168"/>
      <c r="C1455" s="185"/>
      <c r="D1455" s="185"/>
      <c r="E1455" s="185"/>
      <c r="F1455" s="185"/>
      <c r="G1455" s="168"/>
      <c r="H1455" s="186"/>
      <c r="I1455" s="185"/>
    </row>
    <row r="1456" ht="15.75" customHeight="1">
      <c r="A1456" s="124"/>
      <c r="B1456" s="168"/>
      <c r="C1456" s="185"/>
      <c r="D1456" s="185"/>
      <c r="E1456" s="185"/>
      <c r="F1456" s="185"/>
      <c r="G1456" s="168"/>
      <c r="H1456" s="186"/>
      <c r="I1456" s="185"/>
    </row>
    <row r="1457" ht="15.75" customHeight="1">
      <c r="A1457" s="124"/>
      <c r="B1457" s="168"/>
      <c r="C1457" s="185"/>
      <c r="D1457" s="185"/>
      <c r="E1457" s="185"/>
      <c r="F1457" s="185"/>
      <c r="G1457" s="168"/>
      <c r="H1457" s="186"/>
      <c r="I1457" s="185"/>
    </row>
    <row r="1458" ht="15.75" customHeight="1">
      <c r="A1458" s="124"/>
      <c r="B1458" s="168"/>
      <c r="C1458" s="185"/>
      <c r="D1458" s="185"/>
      <c r="E1458" s="185"/>
      <c r="F1458" s="185"/>
      <c r="G1458" s="168"/>
      <c r="H1458" s="186"/>
      <c r="I1458" s="185"/>
    </row>
    <row r="1459" ht="15.75" customHeight="1">
      <c r="A1459" s="124"/>
      <c r="B1459" s="168"/>
      <c r="C1459" s="185"/>
      <c r="D1459" s="185"/>
      <c r="E1459" s="185"/>
      <c r="F1459" s="185"/>
      <c r="G1459" s="168"/>
      <c r="H1459" s="186"/>
      <c r="I1459" s="185"/>
    </row>
    <row r="1460" ht="15.75" customHeight="1">
      <c r="A1460" s="124"/>
      <c r="B1460" s="168"/>
      <c r="C1460" s="185"/>
      <c r="D1460" s="185"/>
      <c r="E1460" s="185"/>
      <c r="F1460" s="185"/>
      <c r="G1460" s="168"/>
      <c r="H1460" s="186"/>
      <c r="I1460" s="185"/>
    </row>
    <row r="1461" ht="15.75" customHeight="1">
      <c r="A1461" s="124"/>
      <c r="B1461" s="168"/>
      <c r="C1461" s="185"/>
      <c r="D1461" s="185"/>
      <c r="E1461" s="185"/>
      <c r="F1461" s="185"/>
      <c r="G1461" s="168"/>
      <c r="H1461" s="186"/>
      <c r="I1461" s="185"/>
    </row>
  </sheetData>
  <mergeCells count="6">
    <mergeCell ref="A1:E1"/>
    <mergeCell ref="F1:G1"/>
    <mergeCell ref="A2:E2"/>
    <mergeCell ref="F2:G2"/>
    <mergeCell ref="A3:E3"/>
    <mergeCell ref="F3:G3"/>
  </mergeCells>
  <conditionalFormatting sqref="E181:E194 E200:E201 E216:E225 E227:E233 E235:E238 E241:E243 E312:E319 F5:G5">
    <cfRule type="cellIs" dxfId="3" priority="1" operator="equal">
      <formula>"MVPS comm isue"</formula>
    </cfRule>
  </conditionalFormatting>
  <conditionalFormatting sqref="E181:E194 E200:E201 E216:E225 E227:E233 E235:E238 E241:E243 E312:E319 F5:G5">
    <cfRule type="cellIs" dxfId="4" priority="2" operator="equal">
      <formula>"MVPS outaged"</formula>
    </cfRule>
  </conditionalFormatting>
  <conditionalFormatting sqref="E181:E194 E200:E201 E216:E225 E227:E233 E235:E238 E241:E243 E312:E319 F5:G5">
    <cfRule type="cellIs" dxfId="4" priority="3" operator="equal">
      <formula>"MVPS comm isue"</formula>
    </cfRule>
  </conditionalFormatting>
  <conditionalFormatting sqref="E5:E18">
    <cfRule type="cellIs" dxfId="3" priority="4" operator="equal">
      <formula>"MVPS comm isue"</formula>
    </cfRule>
  </conditionalFormatting>
  <conditionalFormatting sqref="E5:E18">
    <cfRule type="cellIs" dxfId="4" priority="5" operator="equal">
      <formula>"MVPS outaged"</formula>
    </cfRule>
  </conditionalFormatting>
  <conditionalFormatting sqref="E5:E18">
    <cfRule type="cellIs" dxfId="4" priority="6" operator="equal">
      <formula>"MVPS comm isue"</formula>
    </cfRule>
  </conditionalFormatting>
  <conditionalFormatting sqref="E92:E95">
    <cfRule type="cellIs" dxfId="3" priority="7" operator="equal">
      <formula>"MVPS comm isue"</formula>
    </cfRule>
  </conditionalFormatting>
  <conditionalFormatting sqref="E92:E95">
    <cfRule type="cellIs" dxfId="4" priority="8" operator="equal">
      <formula>"MVPS outaged"</formula>
    </cfRule>
  </conditionalFormatting>
  <conditionalFormatting sqref="E92:E95">
    <cfRule type="cellIs" dxfId="4" priority="9" operator="equal">
      <formula>"MVPS comm isue"</formula>
    </cfRule>
  </conditionalFormatting>
  <conditionalFormatting sqref="E89:E90">
    <cfRule type="cellIs" dxfId="3" priority="10" operator="equal">
      <formula>"MVPS comm isue"</formula>
    </cfRule>
  </conditionalFormatting>
  <conditionalFormatting sqref="E89:E90">
    <cfRule type="cellIs" dxfId="4" priority="11" operator="equal">
      <formula>"MVPS outaged"</formula>
    </cfRule>
  </conditionalFormatting>
  <conditionalFormatting sqref="E89:E90">
    <cfRule type="cellIs" dxfId="4" priority="12" operator="equal">
      <formula>"MVPS comm isue"</formula>
    </cfRule>
  </conditionalFormatting>
  <conditionalFormatting sqref="E19:E39">
    <cfRule type="cellIs" dxfId="3" priority="13" operator="equal">
      <formula>"MVPS comm isue"</formula>
    </cfRule>
  </conditionalFormatting>
  <conditionalFormatting sqref="E19:E39">
    <cfRule type="cellIs" dxfId="4" priority="14" operator="equal">
      <formula>"MVPS outaged"</formula>
    </cfRule>
  </conditionalFormatting>
  <conditionalFormatting sqref="E19:E39">
    <cfRule type="cellIs" dxfId="4" priority="15" operator="equal">
      <formula>"MVPS comm isue"</formula>
    </cfRule>
  </conditionalFormatting>
  <conditionalFormatting sqref="E61:E62">
    <cfRule type="cellIs" dxfId="3" priority="16" operator="equal">
      <formula>"MVPS comm isue"</formula>
    </cfRule>
  </conditionalFormatting>
  <conditionalFormatting sqref="E61:E62">
    <cfRule type="cellIs" dxfId="4" priority="17" operator="equal">
      <formula>"MVPS outaged"</formula>
    </cfRule>
  </conditionalFormatting>
  <conditionalFormatting sqref="E61:E62">
    <cfRule type="cellIs" dxfId="4" priority="18" operator="equal">
      <formula>"MVPS comm isue"</formula>
    </cfRule>
  </conditionalFormatting>
  <conditionalFormatting sqref="E64:E69">
    <cfRule type="cellIs" dxfId="3" priority="19" operator="equal">
      <formula>"MVPS comm isue"</formula>
    </cfRule>
  </conditionalFormatting>
  <conditionalFormatting sqref="E64:E69">
    <cfRule type="cellIs" dxfId="4" priority="20" operator="equal">
      <formula>"MVPS outaged"</formula>
    </cfRule>
  </conditionalFormatting>
  <conditionalFormatting sqref="E64:E69">
    <cfRule type="cellIs" dxfId="4" priority="21" operator="equal">
      <formula>"MVPS comm isue"</formula>
    </cfRule>
  </conditionalFormatting>
  <conditionalFormatting sqref="E40:E44 E47 E53">
    <cfRule type="cellIs" dxfId="3" priority="22" operator="equal">
      <formula>"MVPS comm isue"</formula>
    </cfRule>
  </conditionalFormatting>
  <conditionalFormatting sqref="E40:E44 E47 E53">
    <cfRule type="cellIs" dxfId="4" priority="23" operator="equal">
      <formula>"MVPS outaged"</formula>
    </cfRule>
  </conditionalFormatting>
  <conditionalFormatting sqref="E40:E44 E47 E53">
    <cfRule type="cellIs" dxfId="4" priority="24" operator="equal">
      <formula>"MVPS comm isue"</formula>
    </cfRule>
  </conditionalFormatting>
  <conditionalFormatting sqref="E45:E46 E48:E52 E54:E60 E63 E72 E74:E76 E78:E79 E81:E87 E91 E100:E103 E105:E107 E109 E111:E118">
    <cfRule type="cellIs" dxfId="3" priority="25" operator="equal">
      <formula>"MVPS comm isue"</formula>
    </cfRule>
  </conditionalFormatting>
  <conditionalFormatting sqref="E45:E46 E48:E52 E54:E60 E63 E72 E74:E76 E78:E79 E81:E87 E91 E100:E103 E105:E107 E109 E111:E118">
    <cfRule type="cellIs" dxfId="4" priority="26" operator="equal">
      <formula>"MVPS outaged"</formula>
    </cfRule>
  </conditionalFormatting>
  <conditionalFormatting sqref="E45:E46 E48:E52 E54:E60 E63 E72 E74:E76 E78:E79 E81:E87 E91 E100:E103 E105:E107 E109 E111:E118">
    <cfRule type="cellIs" dxfId="4" priority="27" operator="equal">
      <formula>"MVPS comm isue"</formula>
    </cfRule>
  </conditionalFormatting>
  <conditionalFormatting sqref="E143:E149">
    <cfRule type="cellIs" dxfId="3" priority="28" operator="equal">
      <formula>"MVPS comm isue"</formula>
    </cfRule>
  </conditionalFormatting>
  <conditionalFormatting sqref="E143:E149">
    <cfRule type="cellIs" dxfId="4" priority="29" operator="equal">
      <formula>"MVPS outaged"</formula>
    </cfRule>
  </conditionalFormatting>
  <conditionalFormatting sqref="E143:E149">
    <cfRule type="cellIs" dxfId="4" priority="30" operator="equal">
      <formula>"MVPS comm isue"</formula>
    </cfRule>
  </conditionalFormatting>
  <conditionalFormatting sqref="E119">
    <cfRule type="cellIs" dxfId="3" priority="31" operator="equal">
      <formula>"MVPS comm isue"</formula>
    </cfRule>
  </conditionalFormatting>
  <conditionalFormatting sqref="E119">
    <cfRule type="cellIs" dxfId="4" priority="32" operator="equal">
      <formula>"MVPS outaged"</formula>
    </cfRule>
  </conditionalFormatting>
  <conditionalFormatting sqref="E119">
    <cfRule type="cellIs" dxfId="4" priority="33" operator="equal">
      <formula>"MVPS comm isue"</formula>
    </cfRule>
  </conditionalFormatting>
  <conditionalFormatting sqref="E70:E71 E73 E77 E80">
    <cfRule type="cellIs" dxfId="3" priority="34" operator="equal">
      <formula>"MVPS comm isue"</formula>
    </cfRule>
  </conditionalFormatting>
  <conditionalFormatting sqref="E70:E71 E73 E77 E80">
    <cfRule type="cellIs" dxfId="4" priority="35" operator="equal">
      <formula>"MVPS outaged"</formula>
    </cfRule>
  </conditionalFormatting>
  <conditionalFormatting sqref="E70:E71 E73 E77 E80">
    <cfRule type="cellIs" dxfId="4" priority="36" operator="equal">
      <formula>"MVPS comm isue"</formula>
    </cfRule>
  </conditionalFormatting>
  <conditionalFormatting sqref="E96:E99 E104 E108 E110">
    <cfRule type="cellIs" dxfId="3" priority="37" operator="equal">
      <formula>"MVPS comm isue"</formula>
    </cfRule>
  </conditionalFormatting>
  <conditionalFormatting sqref="E96:E99 E104 E108 E110">
    <cfRule type="cellIs" dxfId="4" priority="38" operator="equal">
      <formula>"MVPS outaged"</formula>
    </cfRule>
  </conditionalFormatting>
  <conditionalFormatting sqref="E96:E99 E104 E108 E110">
    <cfRule type="cellIs" dxfId="4" priority="39" operator="equal">
      <formula>"MVPS comm isue"</formula>
    </cfRule>
  </conditionalFormatting>
  <conditionalFormatting sqref="F45:F46 F48:F52 F54:F60 F63 F72 F74:F76 F78:F79 F81:F87 F91 F100:F103 F105:F107 F109 F111:F118">
    <cfRule type="cellIs" dxfId="3" priority="40" operator="equal">
      <formula>"MVPS comm isue"</formula>
    </cfRule>
  </conditionalFormatting>
  <conditionalFormatting sqref="F45:F46 F48:F52 F54:F60 F63 F72 F74:F76 F78:F79 F81:F87 F91 F100:F103 F105:F107 F109 F111:F118">
    <cfRule type="cellIs" dxfId="4" priority="41" operator="equal">
      <formula>"MVPS outaged"</formula>
    </cfRule>
  </conditionalFormatting>
  <conditionalFormatting sqref="F45:F46 F48:F52 F54:F60 F63 F72 F74:F76 F78:F79 F81:F87 F91 F100:F103 F105:F107 F109 F111:F118">
    <cfRule type="cellIs" dxfId="4" priority="42" operator="equal">
      <formula>"MVPS comm isue"</formula>
    </cfRule>
  </conditionalFormatting>
  <conditionalFormatting sqref="G6:G42">
    <cfRule type="cellIs" dxfId="3" priority="43" operator="equal">
      <formula>"MVPS comm isue"</formula>
    </cfRule>
  </conditionalFormatting>
  <conditionalFormatting sqref="G6:G42">
    <cfRule type="cellIs" dxfId="4" priority="44" operator="equal">
      <formula>"MVPS outaged"</formula>
    </cfRule>
  </conditionalFormatting>
  <conditionalFormatting sqref="G6:G42">
    <cfRule type="cellIs" dxfId="4" priority="45" operator="equal">
      <formula>"MVPS comm isue"</formula>
    </cfRule>
  </conditionalFormatting>
  <conditionalFormatting sqref="E88">
    <cfRule type="cellIs" dxfId="3" priority="46" operator="equal">
      <formula>"MVPS comm isue"</formula>
    </cfRule>
  </conditionalFormatting>
  <conditionalFormatting sqref="E88">
    <cfRule type="cellIs" dxfId="4" priority="47" operator="equal">
      <formula>"MVPS outaged"</formula>
    </cfRule>
  </conditionalFormatting>
  <conditionalFormatting sqref="E88">
    <cfRule type="cellIs" dxfId="4" priority="48" operator="equal">
      <formula>"MVPS comm isue"</formula>
    </cfRule>
  </conditionalFormatting>
  <conditionalFormatting sqref="E129:E140">
    <cfRule type="cellIs" dxfId="3" priority="49" operator="equal">
      <formula>"MVPS comm isue"</formula>
    </cfRule>
  </conditionalFormatting>
  <conditionalFormatting sqref="E129:E140">
    <cfRule type="cellIs" dxfId="4" priority="50" operator="equal">
      <formula>"MVPS outaged"</formula>
    </cfRule>
  </conditionalFormatting>
  <conditionalFormatting sqref="E129:E140">
    <cfRule type="cellIs" dxfId="4" priority="51" operator="equal">
      <formula>"MVPS comm isue"</formula>
    </cfRule>
  </conditionalFormatting>
  <conditionalFormatting sqref="F40:F44 F47 F53 F61:F62 F64:F71 F73 F77 F80 F88:F90 F92:F95 F99 F104 F108 F110 F119">
    <cfRule type="cellIs" dxfId="3" priority="52" operator="equal">
      <formula>"MVPS comm isue"</formula>
    </cfRule>
  </conditionalFormatting>
  <conditionalFormatting sqref="F40:F44 F47 F53 F61:F62 F64:F71 F73 F77 F80 F88:F90 F92:F95 F99 F104 F108 F110 F119">
    <cfRule type="cellIs" dxfId="4" priority="53" operator="equal">
      <formula>"MVPS outaged"</formula>
    </cfRule>
  </conditionalFormatting>
  <conditionalFormatting sqref="F40:F44 F47 F53 F61:F62 F64:F71 F73 F77 F80 F88:F90 F92:F95 F99 F104 F108 F110 F119">
    <cfRule type="cellIs" dxfId="4" priority="54" operator="equal">
      <formula>"MVPS comm isue"</formula>
    </cfRule>
  </conditionalFormatting>
  <conditionalFormatting sqref="F6:F39">
    <cfRule type="cellIs" dxfId="3" priority="55" operator="equal">
      <formula>"MVPS comm isue"</formula>
    </cfRule>
  </conditionalFormatting>
  <conditionalFormatting sqref="F6:F39">
    <cfRule type="cellIs" dxfId="4" priority="56" operator="equal">
      <formula>"MVPS outaged"</formula>
    </cfRule>
  </conditionalFormatting>
  <conditionalFormatting sqref="F6:F39">
    <cfRule type="cellIs" dxfId="4" priority="57" operator="equal">
      <formula>"MVPS comm isue"</formula>
    </cfRule>
  </conditionalFormatting>
  <conditionalFormatting sqref="E120:E128">
    <cfRule type="cellIs" dxfId="3" priority="58" operator="equal">
      <formula>"MVPS comm isue"</formula>
    </cfRule>
  </conditionalFormatting>
  <conditionalFormatting sqref="E120:E128">
    <cfRule type="cellIs" dxfId="4" priority="59" operator="equal">
      <formula>"MVPS outaged"</formula>
    </cfRule>
  </conditionalFormatting>
  <conditionalFormatting sqref="E120:E128">
    <cfRule type="cellIs" dxfId="4" priority="60" operator="equal">
      <formula>"MVPS comm isue"</formula>
    </cfRule>
  </conditionalFormatting>
  <conditionalFormatting sqref="E142">
    <cfRule type="cellIs" dxfId="3" priority="61" operator="equal">
      <formula>"MVPS comm isue"</formula>
    </cfRule>
  </conditionalFormatting>
  <conditionalFormatting sqref="E142">
    <cfRule type="cellIs" dxfId="4" priority="62" operator="equal">
      <formula>"MVPS outaged"</formula>
    </cfRule>
  </conditionalFormatting>
  <conditionalFormatting sqref="E142">
    <cfRule type="cellIs" dxfId="4" priority="63" operator="equal">
      <formula>"MVPS comm isue"</formula>
    </cfRule>
  </conditionalFormatting>
  <conditionalFormatting sqref="E150:E160">
    <cfRule type="cellIs" dxfId="3" priority="64" operator="equal">
      <formula>"MVPS comm isue"</formula>
    </cfRule>
  </conditionalFormatting>
  <conditionalFormatting sqref="E150:E160">
    <cfRule type="cellIs" dxfId="4" priority="65" operator="equal">
      <formula>"MVPS outaged"</formula>
    </cfRule>
  </conditionalFormatting>
  <conditionalFormatting sqref="E150:E160">
    <cfRule type="cellIs" dxfId="4" priority="66" operator="equal">
      <formula>"MVPS comm isue"</formula>
    </cfRule>
  </conditionalFormatting>
  <conditionalFormatting sqref="E161:E163">
    <cfRule type="cellIs" dxfId="3" priority="67" operator="equal">
      <formula>"MVPS comm isue"</formula>
    </cfRule>
  </conditionalFormatting>
  <conditionalFormatting sqref="E161:E163">
    <cfRule type="cellIs" dxfId="4" priority="68" operator="equal">
      <formula>"MVPS outaged"</formula>
    </cfRule>
  </conditionalFormatting>
  <conditionalFormatting sqref="E161:E163">
    <cfRule type="cellIs" dxfId="4" priority="69" operator="equal">
      <formula>"MVPS comm isue"</formula>
    </cfRule>
  </conditionalFormatting>
  <conditionalFormatting sqref="E165">
    <cfRule type="cellIs" dxfId="3" priority="70" operator="equal">
      <formula>"MVPS comm isue"</formula>
    </cfRule>
  </conditionalFormatting>
  <conditionalFormatting sqref="E165">
    <cfRule type="cellIs" dxfId="4" priority="71" operator="equal">
      <formula>"MVPS outaged"</formula>
    </cfRule>
  </conditionalFormatting>
  <conditionalFormatting sqref="E165">
    <cfRule type="cellIs" dxfId="4" priority="72" operator="equal">
      <formula>"MVPS comm isue"</formula>
    </cfRule>
  </conditionalFormatting>
  <conditionalFormatting sqref="E166:E169">
    <cfRule type="cellIs" dxfId="3" priority="73" operator="equal">
      <formula>"MVPS comm isue"</formula>
    </cfRule>
  </conditionalFormatting>
  <conditionalFormatting sqref="E166:E169">
    <cfRule type="cellIs" dxfId="4" priority="74" operator="equal">
      <formula>"MVPS outaged"</formula>
    </cfRule>
  </conditionalFormatting>
  <conditionalFormatting sqref="E166:E169">
    <cfRule type="cellIs" dxfId="4" priority="75" operator="equal">
      <formula>"MVPS comm isue"</formula>
    </cfRule>
  </conditionalFormatting>
  <conditionalFormatting sqref="E199">
    <cfRule type="cellIs" dxfId="3" priority="76" operator="equal">
      <formula>"MVPS comm isue"</formula>
    </cfRule>
  </conditionalFormatting>
  <conditionalFormatting sqref="E199">
    <cfRule type="cellIs" dxfId="4" priority="77" operator="equal">
      <formula>"MVPS outaged"</formula>
    </cfRule>
  </conditionalFormatting>
  <conditionalFormatting sqref="E199">
    <cfRule type="cellIs" dxfId="4" priority="78" operator="equal">
      <formula>"MVPS comm isue"</formula>
    </cfRule>
  </conditionalFormatting>
  <conditionalFormatting sqref="E202:E215">
    <cfRule type="cellIs" dxfId="3" priority="79" operator="equal">
      <formula>"MVPS comm isue"</formula>
    </cfRule>
  </conditionalFormatting>
  <conditionalFormatting sqref="E202:E215">
    <cfRule type="cellIs" dxfId="4" priority="80" operator="equal">
      <formula>"MVPS outaged"</formula>
    </cfRule>
  </conditionalFormatting>
  <conditionalFormatting sqref="E202:E215">
    <cfRule type="cellIs" dxfId="4" priority="81" operator="equal">
      <formula>"MVPS comm isue"</formula>
    </cfRule>
  </conditionalFormatting>
  <conditionalFormatting sqref="E195:E197">
    <cfRule type="cellIs" dxfId="3" priority="82" operator="equal">
      <formula>"MVPS comm isue"</formula>
    </cfRule>
  </conditionalFormatting>
  <conditionalFormatting sqref="E195:E197">
    <cfRule type="cellIs" dxfId="4" priority="83" operator="equal">
      <formula>"MVPS outaged"</formula>
    </cfRule>
  </conditionalFormatting>
  <conditionalFormatting sqref="E195:E197">
    <cfRule type="cellIs" dxfId="4" priority="84" operator="equal">
      <formula>"MVPS comm isue"</formula>
    </cfRule>
  </conditionalFormatting>
  <conditionalFormatting sqref="E239">
    <cfRule type="cellIs" dxfId="3" priority="85" operator="equal">
      <formula>"MVPS comm isue"</formula>
    </cfRule>
  </conditionalFormatting>
  <conditionalFormatting sqref="E239">
    <cfRule type="cellIs" dxfId="4" priority="86" operator="equal">
      <formula>"MVPS outaged"</formula>
    </cfRule>
  </conditionalFormatting>
  <conditionalFormatting sqref="E239">
    <cfRule type="cellIs" dxfId="4" priority="87" operator="equal">
      <formula>"MVPS comm isue"</formula>
    </cfRule>
  </conditionalFormatting>
  <conditionalFormatting sqref="E240">
    <cfRule type="cellIs" dxfId="3" priority="88" operator="equal">
      <formula>"MVPS comm isue"</formula>
    </cfRule>
  </conditionalFormatting>
  <conditionalFormatting sqref="E240">
    <cfRule type="cellIs" dxfId="4" priority="89" operator="equal">
      <formula>"MVPS outaged"</formula>
    </cfRule>
  </conditionalFormatting>
  <conditionalFormatting sqref="E240">
    <cfRule type="cellIs" dxfId="4" priority="90" operator="equal">
      <formula>"MVPS comm isue"</formula>
    </cfRule>
  </conditionalFormatting>
  <conditionalFormatting sqref="H1:H301 H309:H311 H320:H323 H325:H1087">
    <cfRule type="containsText" dxfId="1" priority="91" operator="containsText" text="Pending">
      <formula>NOT(ISERROR(SEARCH(("Pending"),(H1))))</formula>
    </cfRule>
  </conditionalFormatting>
  <conditionalFormatting sqref="H1:H301 H309:H311 H320:H323 H325:H1087">
    <cfRule type="containsText" dxfId="5" priority="92" operator="containsText" text="Done">
      <formula>NOT(ISERROR(SEARCH(("Done"),(H1))))</formula>
    </cfRule>
  </conditionalFormatting>
  <conditionalFormatting sqref="E244">
    <cfRule type="cellIs" dxfId="3" priority="93" operator="equal">
      <formula>"MVPS comm isue"</formula>
    </cfRule>
  </conditionalFormatting>
  <conditionalFormatting sqref="E244">
    <cfRule type="cellIs" dxfId="4" priority="94" operator="equal">
      <formula>"MVPS outaged"</formula>
    </cfRule>
  </conditionalFormatting>
  <conditionalFormatting sqref="E244">
    <cfRule type="cellIs" dxfId="4" priority="95" operator="equal">
      <formula>"MVPS comm isue"</formula>
    </cfRule>
  </conditionalFormatting>
  <conditionalFormatting sqref="E245">
    <cfRule type="cellIs" dxfId="3" priority="96" operator="equal">
      <formula>"MVPS comm isue"</formula>
    </cfRule>
  </conditionalFormatting>
  <conditionalFormatting sqref="E245">
    <cfRule type="cellIs" dxfId="4" priority="97" operator="equal">
      <formula>"MVPS outaged"</formula>
    </cfRule>
  </conditionalFormatting>
  <conditionalFormatting sqref="E245">
    <cfRule type="cellIs" dxfId="4" priority="98" operator="equal">
      <formula>"MVPS comm isue"</formula>
    </cfRule>
  </conditionalFormatting>
  <conditionalFormatting sqref="F249">
    <cfRule type="cellIs" dxfId="3" priority="99" operator="equal">
      <formula>"MVPS comm isue"</formula>
    </cfRule>
  </conditionalFormatting>
  <conditionalFormatting sqref="F249">
    <cfRule type="cellIs" dxfId="4" priority="100" operator="equal">
      <formula>"MVPS outaged"</formula>
    </cfRule>
  </conditionalFormatting>
  <conditionalFormatting sqref="F249">
    <cfRule type="cellIs" dxfId="4" priority="101" operator="equal">
      <formula>"MVPS comm isue"</formula>
    </cfRule>
  </conditionalFormatting>
  <conditionalFormatting sqref="E254">
    <cfRule type="cellIs" dxfId="3" priority="102" operator="equal">
      <formula>"MVPS comm isue"</formula>
    </cfRule>
  </conditionalFormatting>
  <conditionalFormatting sqref="E254">
    <cfRule type="cellIs" dxfId="4" priority="103" operator="equal">
      <formula>"MVPS outaged"</formula>
    </cfRule>
  </conditionalFormatting>
  <conditionalFormatting sqref="E254">
    <cfRule type="cellIs" dxfId="4" priority="104" operator="equal">
      <formula>"MVPS comm isue"</formula>
    </cfRule>
  </conditionalFormatting>
  <conditionalFormatting sqref="E255:E256">
    <cfRule type="cellIs" dxfId="3" priority="105" operator="equal">
      <formula>"MVPS comm isue"</formula>
    </cfRule>
  </conditionalFormatting>
  <conditionalFormatting sqref="E255:E256">
    <cfRule type="cellIs" dxfId="4" priority="106" operator="equal">
      <formula>"MVPS outaged"</formula>
    </cfRule>
  </conditionalFormatting>
  <conditionalFormatting sqref="E255:E256">
    <cfRule type="cellIs" dxfId="4" priority="107" operator="equal">
      <formula>"MVPS comm isue"</formula>
    </cfRule>
  </conditionalFormatting>
  <conditionalFormatting sqref="E257:E259">
    <cfRule type="cellIs" dxfId="3" priority="108" operator="equal">
      <formula>"MVPS comm isue"</formula>
    </cfRule>
  </conditionalFormatting>
  <conditionalFormatting sqref="E257:E259">
    <cfRule type="cellIs" dxfId="4" priority="109" operator="equal">
      <formula>"MVPS outaged"</formula>
    </cfRule>
  </conditionalFormatting>
  <conditionalFormatting sqref="E257:E259">
    <cfRule type="cellIs" dxfId="4" priority="110" operator="equal">
      <formula>"MVPS comm isue"</formula>
    </cfRule>
  </conditionalFormatting>
  <conditionalFormatting sqref="E249">
    <cfRule type="cellIs" dxfId="3" priority="111" operator="equal">
      <formula>"MVPS comm isue"</formula>
    </cfRule>
  </conditionalFormatting>
  <conditionalFormatting sqref="E249">
    <cfRule type="cellIs" dxfId="4" priority="112" operator="equal">
      <formula>"MVPS outaged"</formula>
    </cfRule>
  </conditionalFormatting>
  <conditionalFormatting sqref="E249">
    <cfRule type="cellIs" dxfId="4" priority="113" operator="equal">
      <formula>"MVPS comm isue"</formula>
    </cfRule>
  </conditionalFormatting>
  <conditionalFormatting sqref="F96">
    <cfRule type="cellIs" dxfId="3" priority="114" operator="equal">
      <formula>"MVPS comm isue"</formula>
    </cfRule>
  </conditionalFormatting>
  <conditionalFormatting sqref="F96">
    <cfRule type="cellIs" dxfId="4" priority="115" operator="equal">
      <formula>"MVPS outaged"</formula>
    </cfRule>
  </conditionalFormatting>
  <conditionalFormatting sqref="F96">
    <cfRule type="cellIs" dxfId="4" priority="116" operator="equal">
      <formula>"MVPS comm isue"</formula>
    </cfRule>
  </conditionalFormatting>
  <conditionalFormatting sqref="F97:F98">
    <cfRule type="cellIs" dxfId="3" priority="117" operator="equal">
      <formula>"MVPS comm isue"</formula>
    </cfRule>
  </conditionalFormatting>
  <conditionalFormatting sqref="F97:F98">
    <cfRule type="cellIs" dxfId="4" priority="118" operator="equal">
      <formula>"MVPS outaged"</formula>
    </cfRule>
  </conditionalFormatting>
  <conditionalFormatting sqref="F97:F98">
    <cfRule type="cellIs" dxfId="4" priority="119" operator="equal">
      <formula>"MVPS comm isue"</formula>
    </cfRule>
  </conditionalFormatting>
  <conditionalFormatting sqref="E260">
    <cfRule type="cellIs" dxfId="3" priority="120" operator="equal">
      <formula>"MVPS comm isue"</formula>
    </cfRule>
  </conditionalFormatting>
  <conditionalFormatting sqref="E260">
    <cfRule type="cellIs" dxfId="4" priority="121" operator="equal">
      <formula>"MVPS outaged"</formula>
    </cfRule>
  </conditionalFormatting>
  <conditionalFormatting sqref="E260">
    <cfRule type="cellIs" dxfId="4" priority="122" operator="equal">
      <formula>"MVPS comm isue"</formula>
    </cfRule>
  </conditionalFormatting>
  <conditionalFormatting sqref="E265:E266">
    <cfRule type="cellIs" dxfId="3" priority="123" operator="equal">
      <formula>"MVPS comm isue"</formula>
    </cfRule>
  </conditionalFormatting>
  <conditionalFormatting sqref="E265:E266">
    <cfRule type="cellIs" dxfId="4" priority="124" operator="equal">
      <formula>"MVPS outaged"</formula>
    </cfRule>
  </conditionalFormatting>
  <conditionalFormatting sqref="E265:E266">
    <cfRule type="cellIs" dxfId="4" priority="125" operator="equal">
      <formula>"MVPS comm isue"</formula>
    </cfRule>
  </conditionalFormatting>
  <conditionalFormatting sqref="E267">
    <cfRule type="cellIs" dxfId="3" priority="126" operator="equal">
      <formula>"MVPS comm isue"</formula>
    </cfRule>
  </conditionalFormatting>
  <conditionalFormatting sqref="E267">
    <cfRule type="cellIs" dxfId="4" priority="127" operator="equal">
      <formula>"MVPS outaged"</formula>
    </cfRule>
  </conditionalFormatting>
  <conditionalFormatting sqref="E267">
    <cfRule type="cellIs" dxfId="4" priority="128" operator="equal">
      <formula>"MVPS comm isue"</formula>
    </cfRule>
  </conditionalFormatting>
  <conditionalFormatting sqref="E268:E269">
    <cfRule type="cellIs" dxfId="3" priority="129" operator="equal">
      <formula>"MVPS comm isue"</formula>
    </cfRule>
  </conditionalFormatting>
  <conditionalFormatting sqref="E268:E269">
    <cfRule type="cellIs" dxfId="4" priority="130" operator="equal">
      <formula>"MVPS outaged"</formula>
    </cfRule>
  </conditionalFormatting>
  <conditionalFormatting sqref="E268:E269">
    <cfRule type="cellIs" dxfId="4" priority="131" operator="equal">
      <formula>"MVPS comm isue"</formula>
    </cfRule>
  </conditionalFormatting>
  <conditionalFormatting sqref="E299:E300">
    <cfRule type="cellIs" dxfId="3" priority="132" operator="equal">
      <formula>"MVPS comm isue"</formula>
    </cfRule>
  </conditionalFormatting>
  <conditionalFormatting sqref="E299:E300">
    <cfRule type="cellIs" dxfId="4" priority="133" operator="equal">
      <formula>"MVPS outaged"</formula>
    </cfRule>
  </conditionalFormatting>
  <conditionalFormatting sqref="E299:E300">
    <cfRule type="cellIs" dxfId="4" priority="134" operator="equal">
      <formula>"MVPS comm isue"</formula>
    </cfRule>
  </conditionalFormatting>
  <conditionalFormatting sqref="E301">
    <cfRule type="cellIs" dxfId="3" priority="135" operator="equal">
      <formula>"MVPS comm isue"</formula>
    </cfRule>
  </conditionalFormatting>
  <conditionalFormatting sqref="E301">
    <cfRule type="cellIs" dxfId="4" priority="136" operator="equal">
      <formula>"MVPS outaged"</formula>
    </cfRule>
  </conditionalFormatting>
  <conditionalFormatting sqref="E301">
    <cfRule type="cellIs" dxfId="4" priority="137" operator="equal">
      <formula>"MVPS comm isue"</formula>
    </cfRule>
  </conditionalFormatting>
  <conditionalFormatting sqref="E302:E311">
    <cfRule type="cellIs" dxfId="3" priority="138" operator="equal">
      <formula>"MVPS comm isue"</formula>
    </cfRule>
  </conditionalFormatting>
  <conditionalFormatting sqref="E302:E311">
    <cfRule type="cellIs" dxfId="4" priority="139" operator="equal">
      <formula>"MVPS outaged"</formula>
    </cfRule>
  </conditionalFormatting>
  <conditionalFormatting sqref="E302:E311">
    <cfRule type="cellIs" dxfId="4" priority="140" operator="equal">
      <formula>"MVPS comm isue"</formula>
    </cfRule>
  </conditionalFormatting>
  <conditionalFormatting sqref="H302:H308">
    <cfRule type="containsText" dxfId="1" priority="141" operator="containsText" text="Pending">
      <formula>NOT(ISERROR(SEARCH(("Pending"),(H302))))</formula>
    </cfRule>
  </conditionalFormatting>
  <conditionalFormatting sqref="H302:H308">
    <cfRule type="containsText" dxfId="5" priority="142" operator="containsText" text="Done">
      <formula>NOT(ISERROR(SEARCH(("Done"),(H302))))</formula>
    </cfRule>
  </conditionalFormatting>
  <conditionalFormatting sqref="H312:H319">
    <cfRule type="containsText" dxfId="1" priority="143" operator="containsText" text="Pending">
      <formula>NOT(ISERROR(SEARCH(("Pending"),(H312))))</formula>
    </cfRule>
  </conditionalFormatting>
  <conditionalFormatting sqref="H312:H319">
    <cfRule type="containsText" dxfId="5" priority="144" operator="containsText" text="Done">
      <formula>NOT(ISERROR(SEARCH(("Done"),(H312))))</formula>
    </cfRule>
  </conditionalFormatting>
  <conditionalFormatting sqref="E320">
    <cfRule type="cellIs" dxfId="3" priority="145" operator="equal">
      <formula>"MVPS comm isue"</formula>
    </cfRule>
  </conditionalFormatting>
  <conditionalFormatting sqref="E320">
    <cfRule type="cellIs" dxfId="4" priority="146" operator="equal">
      <formula>"MVPS outaged"</formula>
    </cfRule>
  </conditionalFormatting>
  <conditionalFormatting sqref="E320">
    <cfRule type="cellIs" dxfId="4" priority="147" operator="equal">
      <formula>"MVPS comm isue"</formula>
    </cfRule>
  </conditionalFormatting>
  <conditionalFormatting sqref="E322">
    <cfRule type="cellIs" dxfId="3" priority="148" operator="equal">
      <formula>"MVPS comm isue"</formula>
    </cfRule>
  </conditionalFormatting>
  <conditionalFormatting sqref="E322">
    <cfRule type="cellIs" dxfId="4" priority="149" operator="equal">
      <formula>"MVPS outaged"</formula>
    </cfRule>
  </conditionalFormatting>
  <conditionalFormatting sqref="E322">
    <cfRule type="cellIs" dxfId="4" priority="150" operator="equal">
      <formula>"MVPS comm isue"</formula>
    </cfRule>
  </conditionalFormatting>
  <conditionalFormatting sqref="E323">
    <cfRule type="cellIs" dxfId="3" priority="151" operator="equal">
      <formula>"MVPS comm isue"</formula>
    </cfRule>
  </conditionalFormatting>
  <conditionalFormatting sqref="E323">
    <cfRule type="cellIs" dxfId="4" priority="152" operator="equal">
      <formula>"MVPS outaged"</formula>
    </cfRule>
  </conditionalFormatting>
  <conditionalFormatting sqref="E323">
    <cfRule type="cellIs" dxfId="4" priority="153" operator="equal">
      <formula>"MVPS comm isue"</formula>
    </cfRule>
  </conditionalFormatting>
  <conditionalFormatting sqref="H324">
    <cfRule type="containsText" dxfId="1" priority="154" operator="containsText" text="Pending">
      <formula>NOT(ISERROR(SEARCH(("Pending"),(H324))))</formula>
    </cfRule>
  </conditionalFormatting>
  <conditionalFormatting sqref="H324">
    <cfRule type="containsText" dxfId="5" priority="155" operator="containsText" text="Done">
      <formula>NOT(ISERROR(SEARCH(("Done"),(H324))))</formula>
    </cfRule>
  </conditionalFormatting>
  <conditionalFormatting sqref="E325:E326">
    <cfRule type="cellIs" dxfId="3" priority="156" operator="equal">
      <formula>"MVPS comm isue"</formula>
    </cfRule>
  </conditionalFormatting>
  <conditionalFormatting sqref="E325:E326">
    <cfRule type="cellIs" dxfId="4" priority="157" operator="equal">
      <formula>"MVPS outaged"</formula>
    </cfRule>
  </conditionalFormatting>
  <conditionalFormatting sqref="E325:E326">
    <cfRule type="cellIs" dxfId="4" priority="158" operator="equal">
      <formula>"MVPS comm isue"</formula>
    </cfRule>
  </conditionalFormatting>
  <conditionalFormatting sqref="H1:H1461">
    <cfRule type="containsText" dxfId="5" priority="159" operator="containsText" text="Done">
      <formula>NOT(ISERROR(SEARCH(("Done"),(H1))))</formula>
    </cfRule>
  </conditionalFormatting>
  <conditionalFormatting sqref="A1:Z1461">
    <cfRule type="beginsWith" dxfId="1" priority="160" operator="beginsWith" text="Pending">
      <formula>LEFT((A1),LEN("Pending"))=("Pending")</formula>
    </cfRule>
  </conditionalFormatting>
  <conditionalFormatting sqref="A1:Z1461">
    <cfRule type="beginsWith" dxfId="0" priority="161" operator="beginsWith" text="Done">
      <formula>LEFT((A1),LEN("Done"))=("Done")</formula>
    </cfRule>
  </conditionalFormatting>
  <dataValidations>
    <dataValidation type="list" allowBlank="1" showErrorMessage="1" sqref="E320 E322:E323 E325:E326">
      <formula1>"MVPS outaged,MVPS comm isue,no communication,AngleNoCom,AngleNoChg,SoftLimit-E,SoftLimit-W,MotorOverCur,MotorReversal,DriverError,EmergencyStop,TimeLost,RealTimeClockError,BatSOCLow,BatError,BatNoCom,NTCError,ParaSaveError,ExtermFlshError"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75"/>
    <col customWidth="1" min="2" max="2" width="12.88"/>
    <col customWidth="1" min="3" max="3" width="8.75"/>
    <col customWidth="1" min="4" max="4" width="11.88"/>
    <col customWidth="1" min="5" max="5" width="12.38"/>
    <col customWidth="1" min="6" max="6" width="29.13"/>
    <col customWidth="1" min="7" max="7" width="56.88"/>
    <col customWidth="1" min="8" max="8" width="17.38"/>
    <col customWidth="1" min="9" max="9" width="14.38"/>
    <col customWidth="1" min="10" max="10" width="27.38"/>
    <col customWidth="1" min="11" max="11" width="12.75"/>
    <col customWidth="1" min="12" max="26" width="14.38"/>
  </cols>
  <sheetData>
    <row r="1" ht="13.5" customHeight="1">
      <c r="A1" s="153" t="s">
        <v>284</v>
      </c>
      <c r="B1" s="3"/>
      <c r="C1" s="4"/>
      <c r="D1" s="87">
        <v>286.0</v>
      </c>
      <c r="E1" s="3"/>
      <c r="F1" s="4"/>
      <c r="G1" s="21"/>
      <c r="H1" s="21"/>
      <c r="I1" s="21"/>
      <c r="J1" s="21"/>
      <c r="K1" s="21"/>
    </row>
    <row r="2" ht="13.5" customHeight="1">
      <c r="A2" s="153" t="s">
        <v>285</v>
      </c>
      <c r="B2" s="3"/>
      <c r="C2" s="4"/>
      <c r="D2" s="154">
        <f>COUNTIF(I6:I499998,"Done")</f>
        <v>298</v>
      </c>
      <c r="E2" s="3"/>
      <c r="F2" s="4"/>
      <c r="G2" s="21"/>
      <c r="H2" s="21"/>
      <c r="I2" s="21"/>
      <c r="J2" s="21"/>
      <c r="K2" s="21"/>
    </row>
    <row r="3" ht="13.5" customHeight="1">
      <c r="A3" s="153" t="s">
        <v>286</v>
      </c>
      <c r="B3" s="3"/>
      <c r="C3" s="4"/>
      <c r="D3" s="154">
        <f>D1-D2</f>
        <v>-12</v>
      </c>
      <c r="E3" s="3"/>
      <c r="F3" s="4"/>
      <c r="G3" s="21"/>
      <c r="H3" s="21"/>
      <c r="I3" s="21"/>
      <c r="J3" s="21"/>
      <c r="K3" s="21"/>
    </row>
    <row r="4" ht="13.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</row>
    <row r="5" ht="13.5" customHeight="1">
      <c r="A5" s="187" t="s">
        <v>287</v>
      </c>
      <c r="B5" s="187" t="s">
        <v>218</v>
      </c>
      <c r="C5" s="187" t="s">
        <v>403</v>
      </c>
      <c r="D5" s="187" t="s">
        <v>404</v>
      </c>
      <c r="E5" s="187" t="s">
        <v>405</v>
      </c>
      <c r="F5" s="187" t="s">
        <v>406</v>
      </c>
      <c r="G5" s="187" t="s">
        <v>291</v>
      </c>
      <c r="H5" s="187" t="s">
        <v>307</v>
      </c>
      <c r="I5" s="187" t="s">
        <v>122</v>
      </c>
      <c r="J5" s="187" t="s">
        <v>293</v>
      </c>
      <c r="K5" s="21"/>
    </row>
    <row r="6" ht="24.75" customHeight="1">
      <c r="A6" s="188">
        <v>1.0</v>
      </c>
      <c r="B6" s="189">
        <v>45897.0</v>
      </c>
      <c r="C6" s="190">
        <v>15.0</v>
      </c>
      <c r="D6" s="191">
        <v>7.0</v>
      </c>
      <c r="E6" s="191">
        <v>2.0</v>
      </c>
      <c r="F6" s="190" t="s">
        <v>407</v>
      </c>
      <c r="G6" s="191" t="s">
        <v>408</v>
      </c>
      <c r="H6" s="189">
        <v>45897.0</v>
      </c>
      <c r="I6" s="188" t="s">
        <v>69</v>
      </c>
      <c r="J6" s="188"/>
      <c r="K6" s="21"/>
    </row>
    <row r="7" ht="24.75" customHeight="1">
      <c r="A7" s="188">
        <v>2.0</v>
      </c>
      <c r="B7" s="189">
        <v>45894.0</v>
      </c>
      <c r="C7" s="190">
        <v>51.0</v>
      </c>
      <c r="D7" s="191">
        <v>2.0</v>
      </c>
      <c r="E7" s="191">
        <v>1.0</v>
      </c>
      <c r="F7" s="190" t="s">
        <v>407</v>
      </c>
      <c r="G7" s="191" t="s">
        <v>409</v>
      </c>
      <c r="H7" s="189">
        <v>45894.0</v>
      </c>
      <c r="I7" s="188" t="s">
        <v>69</v>
      </c>
      <c r="J7" s="188"/>
      <c r="K7" s="21"/>
    </row>
    <row r="8" ht="24.75" customHeight="1">
      <c r="A8" s="188">
        <v>3.0</v>
      </c>
      <c r="B8" s="189">
        <v>45894.0</v>
      </c>
      <c r="C8" s="190">
        <v>76.0</v>
      </c>
      <c r="D8" s="190">
        <v>8.0</v>
      </c>
      <c r="E8" s="190">
        <v>2.0</v>
      </c>
      <c r="F8" s="190" t="s">
        <v>407</v>
      </c>
      <c r="G8" s="191" t="s">
        <v>410</v>
      </c>
      <c r="H8" s="189">
        <v>45894.0</v>
      </c>
      <c r="I8" s="188" t="s">
        <v>69</v>
      </c>
      <c r="J8" s="188"/>
      <c r="K8" s="21"/>
    </row>
    <row r="9" ht="24.75" customHeight="1">
      <c r="A9" s="188">
        <v>4.0</v>
      </c>
      <c r="B9" s="189">
        <v>45900.0</v>
      </c>
      <c r="C9" s="190">
        <v>80.0</v>
      </c>
      <c r="D9" s="190">
        <v>8.0</v>
      </c>
      <c r="E9" s="190">
        <v>2.0</v>
      </c>
      <c r="F9" s="190" t="s">
        <v>407</v>
      </c>
      <c r="G9" s="191" t="s">
        <v>411</v>
      </c>
      <c r="H9" s="189">
        <v>45900.0</v>
      </c>
      <c r="I9" s="188" t="s">
        <v>69</v>
      </c>
      <c r="J9" s="188"/>
      <c r="K9" s="21"/>
    </row>
    <row r="10" ht="24.75" customHeight="1">
      <c r="A10" s="188">
        <v>5.0</v>
      </c>
      <c r="B10" s="189">
        <v>45900.0</v>
      </c>
      <c r="C10" s="190">
        <v>109.0</v>
      </c>
      <c r="D10" s="190">
        <v>8.0</v>
      </c>
      <c r="E10" s="190">
        <v>2.0</v>
      </c>
      <c r="F10" s="190" t="s">
        <v>407</v>
      </c>
      <c r="G10" s="191" t="s">
        <v>412</v>
      </c>
      <c r="H10" s="189">
        <v>45900.0</v>
      </c>
      <c r="I10" s="188" t="s">
        <v>69</v>
      </c>
      <c r="J10" s="188"/>
      <c r="K10" s="21"/>
    </row>
    <row r="11" ht="24.75" customHeight="1">
      <c r="A11" s="188">
        <v>6.0</v>
      </c>
      <c r="B11" s="189">
        <v>45900.0</v>
      </c>
      <c r="C11" s="190">
        <v>121.0</v>
      </c>
      <c r="D11" s="190" t="s">
        <v>413</v>
      </c>
      <c r="E11" s="190">
        <v>2.0</v>
      </c>
      <c r="F11" s="190" t="s">
        <v>414</v>
      </c>
      <c r="G11" s="190" t="s">
        <v>415</v>
      </c>
      <c r="H11" s="189">
        <v>45900.0</v>
      </c>
      <c r="I11" s="188" t="s">
        <v>69</v>
      </c>
      <c r="J11" s="188"/>
      <c r="K11" s="21"/>
    </row>
    <row r="12" ht="24.75" customHeight="1">
      <c r="A12" s="188">
        <v>7.0</v>
      </c>
      <c r="B12" s="189">
        <v>45894.0</v>
      </c>
      <c r="C12" s="190">
        <v>125.0</v>
      </c>
      <c r="D12" s="190">
        <v>8.0</v>
      </c>
      <c r="E12" s="190">
        <v>2.0</v>
      </c>
      <c r="F12" s="190" t="s">
        <v>407</v>
      </c>
      <c r="G12" s="191" t="s">
        <v>416</v>
      </c>
      <c r="H12" s="189">
        <v>45894.0</v>
      </c>
      <c r="I12" s="188" t="s">
        <v>69</v>
      </c>
      <c r="J12" s="188"/>
      <c r="K12" s="21"/>
    </row>
    <row r="13" ht="24.75" customHeight="1">
      <c r="A13" s="188">
        <v>8.0</v>
      </c>
      <c r="B13" s="189">
        <v>45894.0</v>
      </c>
      <c r="C13" s="190">
        <v>15.0</v>
      </c>
      <c r="D13" s="190" t="s">
        <v>413</v>
      </c>
      <c r="E13" s="190">
        <v>2.0</v>
      </c>
      <c r="F13" s="190" t="s">
        <v>407</v>
      </c>
      <c r="G13" s="191" t="s">
        <v>408</v>
      </c>
      <c r="H13" s="189">
        <v>45894.0</v>
      </c>
      <c r="I13" s="188" t="s">
        <v>69</v>
      </c>
      <c r="J13" s="188"/>
      <c r="K13" s="21"/>
    </row>
    <row r="14" ht="24.75" customHeight="1">
      <c r="A14" s="188">
        <v>9.0</v>
      </c>
      <c r="B14" s="189">
        <v>45894.0</v>
      </c>
      <c r="C14" s="190">
        <v>109.0</v>
      </c>
      <c r="D14" s="190">
        <v>6.0</v>
      </c>
      <c r="E14" s="190">
        <v>2.0</v>
      </c>
      <c r="F14" s="190" t="s">
        <v>407</v>
      </c>
      <c r="G14" s="191" t="s">
        <v>412</v>
      </c>
      <c r="H14" s="189">
        <v>45894.0</v>
      </c>
      <c r="I14" s="188" t="s">
        <v>69</v>
      </c>
      <c r="J14" s="188"/>
      <c r="K14" s="21"/>
    </row>
    <row r="15" ht="24.75" customHeight="1">
      <c r="A15" s="188">
        <v>10.0</v>
      </c>
      <c r="B15" s="189">
        <v>45901.0</v>
      </c>
      <c r="C15" s="190">
        <v>121.0</v>
      </c>
      <c r="D15" s="190">
        <v>8.0</v>
      </c>
      <c r="E15" s="190">
        <v>2.0</v>
      </c>
      <c r="F15" s="190" t="s">
        <v>417</v>
      </c>
      <c r="G15" s="190" t="s">
        <v>418</v>
      </c>
      <c r="H15" s="189">
        <v>45901.0</v>
      </c>
      <c r="I15" s="188" t="s">
        <v>69</v>
      </c>
      <c r="J15" s="188"/>
      <c r="K15" s="21"/>
    </row>
    <row r="16" ht="24.75" customHeight="1">
      <c r="A16" s="188">
        <v>11.0</v>
      </c>
      <c r="B16" s="189">
        <v>45902.0</v>
      </c>
      <c r="C16" s="190">
        <v>46.0</v>
      </c>
      <c r="D16" s="190">
        <v>7.0</v>
      </c>
      <c r="E16" s="190">
        <v>2.0</v>
      </c>
      <c r="F16" s="190" t="s">
        <v>419</v>
      </c>
      <c r="G16" s="190" t="s">
        <v>420</v>
      </c>
      <c r="H16" s="189">
        <v>45902.0</v>
      </c>
      <c r="I16" s="188" t="s">
        <v>69</v>
      </c>
      <c r="J16" s="188"/>
      <c r="K16" s="21"/>
    </row>
    <row r="17" ht="24.75" customHeight="1">
      <c r="A17" s="188">
        <v>12.0</v>
      </c>
      <c r="B17" s="192">
        <v>45906.0</v>
      </c>
      <c r="C17" s="190">
        <v>109.0</v>
      </c>
      <c r="D17" s="190"/>
      <c r="E17" s="190">
        <v>2.0</v>
      </c>
      <c r="F17" s="190" t="s">
        <v>421</v>
      </c>
      <c r="G17" s="191" t="s">
        <v>422</v>
      </c>
      <c r="H17" s="192">
        <v>45906.0</v>
      </c>
      <c r="I17" s="188" t="s">
        <v>69</v>
      </c>
      <c r="J17" s="188"/>
      <c r="K17" s="21"/>
    </row>
    <row r="18" ht="24.75" customHeight="1">
      <c r="A18" s="188">
        <v>13.0</v>
      </c>
      <c r="B18" s="192">
        <v>45905.0</v>
      </c>
      <c r="C18" s="190">
        <v>21.0</v>
      </c>
      <c r="D18" s="190">
        <v>6.0</v>
      </c>
      <c r="E18" s="188">
        <v>2.0</v>
      </c>
      <c r="F18" s="190" t="s">
        <v>423</v>
      </c>
      <c r="G18" s="188"/>
      <c r="H18" s="192">
        <v>45905.0</v>
      </c>
      <c r="I18" s="188" t="s">
        <v>69</v>
      </c>
      <c r="J18" s="188"/>
      <c r="K18" s="21"/>
    </row>
    <row r="19" ht="24.75" customHeight="1">
      <c r="A19" s="188">
        <v>14.0</v>
      </c>
      <c r="B19" s="192">
        <v>45914.0</v>
      </c>
      <c r="C19" s="190">
        <v>52.0</v>
      </c>
      <c r="D19" s="190">
        <v>3.0</v>
      </c>
      <c r="E19" s="188">
        <v>1.0</v>
      </c>
      <c r="F19" s="190" t="s">
        <v>407</v>
      </c>
      <c r="G19" s="191" t="s">
        <v>422</v>
      </c>
      <c r="H19" s="192">
        <v>45914.0</v>
      </c>
      <c r="I19" s="188" t="s">
        <v>69</v>
      </c>
      <c r="J19" s="188"/>
      <c r="K19" s="21"/>
    </row>
    <row r="20" ht="24.75" customHeight="1">
      <c r="A20" s="188">
        <v>15.0</v>
      </c>
      <c r="B20" s="192">
        <v>45914.0</v>
      </c>
      <c r="C20" s="190">
        <v>64.0</v>
      </c>
      <c r="D20" s="190">
        <v>3.0</v>
      </c>
      <c r="E20" s="188">
        <v>1.0</v>
      </c>
      <c r="F20" s="190" t="s">
        <v>407</v>
      </c>
      <c r="G20" s="188" t="s">
        <v>424</v>
      </c>
      <c r="H20" s="192">
        <v>45914.0</v>
      </c>
      <c r="I20" s="188" t="s">
        <v>69</v>
      </c>
      <c r="J20" s="188"/>
      <c r="K20" s="21"/>
    </row>
    <row r="21" ht="24.75" customHeight="1">
      <c r="A21" s="188">
        <v>16.0</v>
      </c>
      <c r="B21" s="192">
        <v>45914.0</v>
      </c>
      <c r="C21" s="190">
        <v>25.0</v>
      </c>
      <c r="D21" s="190">
        <v>1.0</v>
      </c>
      <c r="E21" s="188">
        <v>1.0</v>
      </c>
      <c r="F21" s="190" t="s">
        <v>407</v>
      </c>
      <c r="G21" s="188" t="s">
        <v>425</v>
      </c>
      <c r="H21" s="192">
        <v>45914.0</v>
      </c>
      <c r="I21" s="188" t="s">
        <v>69</v>
      </c>
      <c r="J21" s="188"/>
      <c r="K21" s="21"/>
    </row>
    <row r="22" ht="24.75" customHeight="1">
      <c r="A22" s="188">
        <v>17.0</v>
      </c>
      <c r="B22" s="192">
        <v>45915.0</v>
      </c>
      <c r="C22" s="190">
        <v>102.0</v>
      </c>
      <c r="D22" s="188" t="s">
        <v>426</v>
      </c>
      <c r="E22" s="188">
        <v>1.0</v>
      </c>
      <c r="F22" s="190" t="s">
        <v>427</v>
      </c>
      <c r="G22" s="191" t="s">
        <v>422</v>
      </c>
      <c r="H22" s="192">
        <v>45915.0</v>
      </c>
      <c r="I22" s="188" t="s">
        <v>69</v>
      </c>
      <c r="J22" s="188"/>
      <c r="K22" s="21"/>
    </row>
    <row r="23" ht="24.75" customHeight="1">
      <c r="A23" s="188">
        <v>18.0</v>
      </c>
      <c r="B23" s="192">
        <v>45914.0</v>
      </c>
      <c r="C23" s="190">
        <v>102.0</v>
      </c>
      <c r="D23" s="190">
        <v>1.0</v>
      </c>
      <c r="E23" s="188">
        <v>1.0</v>
      </c>
      <c r="F23" s="190" t="s">
        <v>407</v>
      </c>
      <c r="G23" s="188" t="s">
        <v>428</v>
      </c>
      <c r="H23" s="192">
        <v>45914.0</v>
      </c>
      <c r="I23" s="188" t="s">
        <v>69</v>
      </c>
      <c r="J23" s="188"/>
      <c r="K23" s="21"/>
    </row>
    <row r="24" ht="24.75" customHeight="1">
      <c r="A24" s="188">
        <v>19.0</v>
      </c>
      <c r="B24" s="192">
        <v>45914.0</v>
      </c>
      <c r="C24" s="190">
        <v>126.0</v>
      </c>
      <c r="D24" s="190">
        <v>8.0</v>
      </c>
      <c r="E24" s="188">
        <v>2.0</v>
      </c>
      <c r="F24" s="190" t="s">
        <v>407</v>
      </c>
      <c r="G24" s="191" t="s">
        <v>422</v>
      </c>
      <c r="H24" s="192">
        <v>45914.0</v>
      </c>
      <c r="I24" s="188" t="s">
        <v>69</v>
      </c>
      <c r="J24" s="188"/>
      <c r="K24" s="21"/>
    </row>
    <row r="25" ht="24.75" customHeight="1">
      <c r="A25" s="188">
        <v>20.0</v>
      </c>
      <c r="B25" s="192">
        <v>45916.0</v>
      </c>
      <c r="C25" s="190">
        <v>38.0</v>
      </c>
      <c r="D25" s="190">
        <v>5.0</v>
      </c>
      <c r="E25" s="188">
        <v>2.0</v>
      </c>
      <c r="F25" s="190" t="s">
        <v>429</v>
      </c>
      <c r="G25" s="188" t="s">
        <v>430</v>
      </c>
      <c r="H25" s="192">
        <v>45916.0</v>
      </c>
      <c r="I25" s="188" t="s">
        <v>69</v>
      </c>
      <c r="J25" s="188"/>
      <c r="K25" s="21"/>
    </row>
    <row r="26" ht="24.75" customHeight="1">
      <c r="A26" s="188">
        <v>21.0</v>
      </c>
      <c r="B26" s="192">
        <v>45920.0</v>
      </c>
      <c r="C26" s="190">
        <v>118.0</v>
      </c>
      <c r="D26" s="190">
        <v>3.0</v>
      </c>
      <c r="E26" s="188">
        <v>1.0</v>
      </c>
      <c r="F26" s="190" t="s">
        <v>427</v>
      </c>
      <c r="G26" s="191" t="s">
        <v>422</v>
      </c>
      <c r="H26" s="192">
        <v>45920.0</v>
      </c>
      <c r="I26" s="188" t="s">
        <v>69</v>
      </c>
      <c r="J26" s="188"/>
      <c r="K26" s="21"/>
    </row>
    <row r="27" ht="24.75" customHeight="1">
      <c r="A27" s="188">
        <v>22.0</v>
      </c>
      <c r="B27" s="192">
        <v>45920.0</v>
      </c>
      <c r="C27" s="190">
        <v>118.0</v>
      </c>
      <c r="D27" s="190">
        <v>5.0</v>
      </c>
      <c r="E27" s="188">
        <v>2.0</v>
      </c>
      <c r="F27" s="190" t="s">
        <v>427</v>
      </c>
      <c r="G27" s="191" t="s">
        <v>422</v>
      </c>
      <c r="H27" s="192">
        <v>45920.0</v>
      </c>
      <c r="I27" s="188" t="s">
        <v>69</v>
      </c>
      <c r="J27" s="188"/>
      <c r="K27" s="21"/>
    </row>
    <row r="28" ht="24.75" customHeight="1">
      <c r="A28" s="188">
        <v>23.0</v>
      </c>
      <c r="B28" s="192">
        <v>45921.0</v>
      </c>
      <c r="C28" s="190">
        <v>125.0</v>
      </c>
      <c r="D28" s="190">
        <v>6.0</v>
      </c>
      <c r="E28" s="188">
        <v>2.0</v>
      </c>
      <c r="F28" s="190" t="s">
        <v>407</v>
      </c>
      <c r="G28" s="188" t="s">
        <v>431</v>
      </c>
      <c r="H28" s="192">
        <v>45921.0</v>
      </c>
      <c r="I28" s="188" t="s">
        <v>69</v>
      </c>
      <c r="J28" s="188"/>
      <c r="K28" s="21"/>
    </row>
    <row r="29" ht="24.75" customHeight="1">
      <c r="A29" s="188">
        <v>24.0</v>
      </c>
      <c r="B29" s="192">
        <v>45921.0</v>
      </c>
      <c r="C29" s="190">
        <v>48.0</v>
      </c>
      <c r="D29" s="190">
        <v>8.0</v>
      </c>
      <c r="E29" s="188">
        <v>2.0</v>
      </c>
      <c r="F29" s="190" t="s">
        <v>407</v>
      </c>
      <c r="G29" s="191" t="s">
        <v>422</v>
      </c>
      <c r="H29" s="192">
        <v>45921.0</v>
      </c>
      <c r="I29" s="188" t="s">
        <v>69</v>
      </c>
      <c r="J29" s="188"/>
      <c r="K29" s="21"/>
    </row>
    <row r="30" ht="24.75" customHeight="1">
      <c r="A30" s="188">
        <v>25.0</v>
      </c>
      <c r="B30" s="192">
        <v>45921.0</v>
      </c>
      <c r="C30" s="190">
        <v>52.0</v>
      </c>
      <c r="D30" s="188">
        <v>4.0</v>
      </c>
      <c r="E30" s="188">
        <v>1.0</v>
      </c>
      <c r="F30" s="190" t="s">
        <v>432</v>
      </c>
      <c r="G30" s="191" t="s">
        <v>422</v>
      </c>
      <c r="H30" s="192">
        <v>45921.0</v>
      </c>
      <c r="I30" s="188" t="s">
        <v>69</v>
      </c>
      <c r="J30" s="188"/>
      <c r="K30" s="21"/>
    </row>
    <row r="31" ht="24.75" customHeight="1">
      <c r="A31" s="188">
        <v>26.0</v>
      </c>
      <c r="B31" s="192">
        <v>45922.0</v>
      </c>
      <c r="C31" s="190">
        <v>25.0</v>
      </c>
      <c r="D31" s="190">
        <v>4.0</v>
      </c>
      <c r="E31" s="188">
        <v>1.0</v>
      </c>
      <c r="F31" s="190" t="s">
        <v>427</v>
      </c>
      <c r="G31" s="191" t="s">
        <v>422</v>
      </c>
      <c r="H31" s="192">
        <v>45922.0</v>
      </c>
      <c r="I31" s="188" t="s">
        <v>69</v>
      </c>
      <c r="J31" s="188"/>
      <c r="K31" s="21"/>
    </row>
    <row r="32" ht="24.75" customHeight="1">
      <c r="A32" s="188">
        <v>27.0</v>
      </c>
      <c r="B32" s="192">
        <v>45922.0</v>
      </c>
      <c r="C32" s="190">
        <v>90.0</v>
      </c>
      <c r="D32" s="190">
        <v>1.0</v>
      </c>
      <c r="E32" s="188">
        <v>1.0</v>
      </c>
      <c r="F32" s="190" t="s">
        <v>427</v>
      </c>
      <c r="G32" s="191" t="s">
        <v>422</v>
      </c>
      <c r="H32" s="192">
        <v>45922.0</v>
      </c>
      <c r="I32" s="188" t="s">
        <v>69</v>
      </c>
      <c r="J32" s="188"/>
      <c r="K32" s="21"/>
    </row>
    <row r="33" ht="24.75" customHeight="1">
      <c r="A33" s="188">
        <v>28.0</v>
      </c>
      <c r="B33" s="192">
        <v>45922.0</v>
      </c>
      <c r="C33" s="190">
        <v>98.0</v>
      </c>
      <c r="D33" s="190">
        <v>2.0</v>
      </c>
      <c r="E33" s="188">
        <v>1.0</v>
      </c>
      <c r="F33" s="190" t="s">
        <v>427</v>
      </c>
      <c r="G33" s="191" t="s">
        <v>422</v>
      </c>
      <c r="H33" s="192">
        <v>45922.0</v>
      </c>
      <c r="I33" s="188" t="s">
        <v>69</v>
      </c>
      <c r="J33" s="188"/>
      <c r="K33" s="21"/>
    </row>
    <row r="34" ht="24.75" customHeight="1">
      <c r="A34" s="188">
        <v>29.0</v>
      </c>
      <c r="B34" s="192">
        <v>45922.0</v>
      </c>
      <c r="C34" s="190">
        <v>102.0</v>
      </c>
      <c r="D34" s="188" t="s">
        <v>433</v>
      </c>
      <c r="E34" s="188">
        <v>1.0</v>
      </c>
      <c r="F34" s="190" t="s">
        <v>421</v>
      </c>
      <c r="G34" s="191" t="s">
        <v>422</v>
      </c>
      <c r="H34" s="192">
        <v>45922.0</v>
      </c>
      <c r="I34" s="188" t="s">
        <v>69</v>
      </c>
      <c r="J34" s="188"/>
      <c r="K34" s="21"/>
    </row>
    <row r="35" ht="24.75" customHeight="1">
      <c r="A35" s="188">
        <v>30.0</v>
      </c>
      <c r="B35" s="192">
        <v>45923.0</v>
      </c>
      <c r="C35" s="190">
        <v>90.0</v>
      </c>
      <c r="D35" s="190">
        <v>6.0</v>
      </c>
      <c r="E35" s="188">
        <v>2.0</v>
      </c>
      <c r="F35" s="190" t="s">
        <v>427</v>
      </c>
      <c r="G35" s="191" t="s">
        <v>422</v>
      </c>
      <c r="H35" s="192">
        <v>45923.0</v>
      </c>
      <c r="I35" s="188" t="s">
        <v>69</v>
      </c>
      <c r="J35" s="188"/>
      <c r="K35" s="21"/>
    </row>
    <row r="36" ht="24.75" customHeight="1">
      <c r="A36" s="188">
        <v>31.0</v>
      </c>
      <c r="B36" s="192">
        <v>45923.0</v>
      </c>
      <c r="C36" s="190">
        <v>52.0</v>
      </c>
      <c r="D36" s="190">
        <v>4.0</v>
      </c>
      <c r="E36" s="188">
        <v>1.0</v>
      </c>
      <c r="F36" s="190" t="s">
        <v>407</v>
      </c>
      <c r="G36" s="191" t="s">
        <v>422</v>
      </c>
      <c r="H36" s="192">
        <v>45923.0</v>
      </c>
      <c r="I36" s="188" t="s">
        <v>69</v>
      </c>
      <c r="J36" s="188"/>
      <c r="K36" s="21"/>
    </row>
    <row r="37" ht="24.75" customHeight="1">
      <c r="A37" s="188">
        <v>32.0</v>
      </c>
      <c r="B37" s="192">
        <v>45924.0</v>
      </c>
      <c r="C37" s="190">
        <v>52.0</v>
      </c>
      <c r="D37" s="190">
        <v>4.0</v>
      </c>
      <c r="E37" s="188">
        <v>1.0</v>
      </c>
      <c r="F37" s="190" t="s">
        <v>407</v>
      </c>
      <c r="G37" s="191" t="s">
        <v>422</v>
      </c>
      <c r="H37" s="192">
        <v>45924.0</v>
      </c>
      <c r="I37" s="188" t="s">
        <v>69</v>
      </c>
      <c r="J37" s="188"/>
      <c r="K37" s="21"/>
    </row>
    <row r="38" ht="24.75" customHeight="1">
      <c r="A38" s="188">
        <v>33.0</v>
      </c>
      <c r="B38" s="192">
        <v>45924.0</v>
      </c>
      <c r="C38" s="190">
        <v>56.0</v>
      </c>
      <c r="D38" s="190">
        <v>4.0</v>
      </c>
      <c r="E38" s="188">
        <v>1.0</v>
      </c>
      <c r="F38" s="190" t="s">
        <v>427</v>
      </c>
      <c r="G38" s="191" t="s">
        <v>422</v>
      </c>
      <c r="H38" s="192">
        <v>45924.0</v>
      </c>
      <c r="I38" s="188" t="s">
        <v>69</v>
      </c>
      <c r="J38" s="188"/>
      <c r="K38" s="21"/>
    </row>
    <row r="39" ht="24.75" customHeight="1">
      <c r="A39" s="188">
        <v>34.0</v>
      </c>
      <c r="B39" s="192">
        <v>45924.0</v>
      </c>
      <c r="C39" s="190">
        <v>80.0</v>
      </c>
      <c r="D39" s="190">
        <v>5.0</v>
      </c>
      <c r="E39" s="188">
        <v>2.0</v>
      </c>
      <c r="F39" s="190" t="s">
        <v>429</v>
      </c>
      <c r="G39" s="188" t="s">
        <v>430</v>
      </c>
      <c r="H39" s="192">
        <v>45924.0</v>
      </c>
      <c r="I39" s="188" t="s">
        <v>69</v>
      </c>
      <c r="J39" s="188"/>
      <c r="K39" s="21"/>
    </row>
    <row r="40" ht="24.75" customHeight="1">
      <c r="A40" s="188">
        <v>35.0</v>
      </c>
      <c r="B40" s="192">
        <v>45924.0</v>
      </c>
      <c r="C40" s="190">
        <v>102.0</v>
      </c>
      <c r="D40" s="188" t="s">
        <v>426</v>
      </c>
      <c r="E40" s="188">
        <v>1.0</v>
      </c>
      <c r="F40" s="190" t="s">
        <v>421</v>
      </c>
      <c r="G40" s="191" t="s">
        <v>422</v>
      </c>
      <c r="H40" s="192">
        <v>45924.0</v>
      </c>
      <c r="I40" s="188" t="s">
        <v>69</v>
      </c>
      <c r="J40" s="188"/>
      <c r="K40" s="21"/>
    </row>
    <row r="41" ht="24.75" customHeight="1">
      <c r="A41" s="188">
        <v>36.0</v>
      </c>
      <c r="B41" s="192">
        <v>45925.0</v>
      </c>
      <c r="C41" s="190">
        <v>48.0</v>
      </c>
      <c r="D41" s="190">
        <v>8.0</v>
      </c>
      <c r="E41" s="188">
        <v>2.0</v>
      </c>
      <c r="F41" s="190" t="s">
        <v>407</v>
      </c>
      <c r="G41" s="191" t="s">
        <v>434</v>
      </c>
      <c r="H41" s="192">
        <v>45925.0</v>
      </c>
      <c r="I41" s="188" t="s">
        <v>69</v>
      </c>
      <c r="J41" s="188"/>
      <c r="K41" s="21"/>
    </row>
    <row r="42" ht="24.75" customHeight="1">
      <c r="A42" s="188">
        <v>37.0</v>
      </c>
      <c r="B42" s="192">
        <v>45927.0</v>
      </c>
      <c r="C42" s="190">
        <v>40.0</v>
      </c>
      <c r="D42" s="188" t="s">
        <v>426</v>
      </c>
      <c r="E42" s="188">
        <v>1.0</v>
      </c>
      <c r="F42" s="191" t="s">
        <v>435</v>
      </c>
      <c r="G42" s="191" t="s">
        <v>436</v>
      </c>
      <c r="H42" s="192">
        <v>45927.0</v>
      </c>
      <c r="I42" s="188" t="s">
        <v>69</v>
      </c>
      <c r="J42" s="188"/>
      <c r="K42" s="21"/>
    </row>
    <row r="43" ht="24.75" customHeight="1">
      <c r="A43" s="188">
        <v>38.0</v>
      </c>
      <c r="B43" s="192">
        <v>45927.0</v>
      </c>
      <c r="C43" s="190">
        <v>65.0</v>
      </c>
      <c r="D43" s="190">
        <v>5.0</v>
      </c>
      <c r="E43" s="188">
        <v>2.0</v>
      </c>
      <c r="F43" s="190" t="s">
        <v>407</v>
      </c>
      <c r="G43" s="193" t="s">
        <v>437</v>
      </c>
      <c r="H43" s="192">
        <v>45927.0</v>
      </c>
      <c r="I43" s="188" t="s">
        <v>69</v>
      </c>
      <c r="J43" s="188"/>
      <c r="K43" s="21"/>
    </row>
    <row r="44" ht="24.75" customHeight="1">
      <c r="A44" s="188">
        <v>39.0</v>
      </c>
      <c r="B44" s="192">
        <v>45927.0</v>
      </c>
      <c r="C44" s="190">
        <v>121.0</v>
      </c>
      <c r="D44" s="188" t="s">
        <v>413</v>
      </c>
      <c r="E44" s="188">
        <v>2.0</v>
      </c>
      <c r="F44" s="190" t="s">
        <v>438</v>
      </c>
      <c r="G44" s="191" t="s">
        <v>439</v>
      </c>
      <c r="H44" s="192">
        <v>45927.0</v>
      </c>
      <c r="I44" s="188" t="s">
        <v>69</v>
      </c>
      <c r="J44" s="188"/>
      <c r="K44" s="21"/>
    </row>
    <row r="45" ht="24.75" customHeight="1">
      <c r="A45" s="188">
        <v>40.0</v>
      </c>
      <c r="B45" s="192">
        <v>45927.0</v>
      </c>
      <c r="C45" s="190">
        <v>114.0</v>
      </c>
      <c r="D45" s="188">
        <v>6.0</v>
      </c>
      <c r="E45" s="188">
        <v>2.0</v>
      </c>
      <c r="F45" s="190" t="s">
        <v>440</v>
      </c>
      <c r="G45" s="191" t="s">
        <v>422</v>
      </c>
      <c r="H45" s="192">
        <v>45927.0</v>
      </c>
      <c r="I45" s="188" t="s">
        <v>69</v>
      </c>
      <c r="J45" s="188"/>
      <c r="K45" s="21"/>
    </row>
    <row r="46" ht="24.75" customHeight="1">
      <c r="A46" s="188">
        <v>41.0</v>
      </c>
      <c r="B46" s="192">
        <v>45927.0</v>
      </c>
      <c r="C46" s="190">
        <v>91.0</v>
      </c>
      <c r="D46" s="188">
        <v>5.0</v>
      </c>
      <c r="E46" s="188">
        <v>2.0</v>
      </c>
      <c r="F46" s="190" t="s">
        <v>427</v>
      </c>
      <c r="G46" s="191" t="s">
        <v>422</v>
      </c>
      <c r="H46" s="192">
        <v>45927.0</v>
      </c>
      <c r="I46" s="188" t="s">
        <v>69</v>
      </c>
      <c r="J46" s="188"/>
      <c r="K46" s="21"/>
    </row>
    <row r="47" ht="24.75" customHeight="1">
      <c r="A47" s="188">
        <v>42.0</v>
      </c>
      <c r="B47" s="192">
        <v>45927.0</v>
      </c>
      <c r="C47" s="190">
        <v>73.0</v>
      </c>
      <c r="D47" s="188"/>
      <c r="E47" s="188"/>
      <c r="F47" s="190" t="s">
        <v>441</v>
      </c>
      <c r="G47" s="188" t="s">
        <v>442</v>
      </c>
      <c r="H47" s="192">
        <v>45927.0</v>
      </c>
      <c r="I47" s="188" t="s">
        <v>69</v>
      </c>
      <c r="J47" s="188"/>
      <c r="K47" s="21"/>
    </row>
    <row r="48" ht="24.75" customHeight="1">
      <c r="A48" s="188">
        <v>43.0</v>
      </c>
      <c r="B48" s="192">
        <v>45928.0</v>
      </c>
      <c r="C48" s="190">
        <v>121.0</v>
      </c>
      <c r="D48" s="188" t="s">
        <v>413</v>
      </c>
      <c r="E48" s="188">
        <v>2.0</v>
      </c>
      <c r="F48" s="190" t="s">
        <v>438</v>
      </c>
      <c r="G48" s="188" t="s">
        <v>443</v>
      </c>
      <c r="H48" s="192">
        <v>45928.0</v>
      </c>
      <c r="I48" s="188" t="s">
        <v>69</v>
      </c>
      <c r="J48" s="188"/>
      <c r="K48" s="21"/>
    </row>
    <row r="49" ht="24.75" customHeight="1">
      <c r="A49" s="188">
        <v>44.0</v>
      </c>
      <c r="B49" s="192">
        <v>45929.0</v>
      </c>
      <c r="C49" s="190">
        <v>121.0</v>
      </c>
      <c r="D49" s="188" t="s">
        <v>413</v>
      </c>
      <c r="E49" s="188">
        <v>2.0</v>
      </c>
      <c r="F49" s="190" t="s">
        <v>438</v>
      </c>
      <c r="G49" s="191" t="s">
        <v>444</v>
      </c>
      <c r="H49" s="192">
        <v>45929.0</v>
      </c>
      <c r="I49" s="188" t="s">
        <v>69</v>
      </c>
      <c r="J49" s="188"/>
      <c r="K49" s="21"/>
    </row>
    <row r="50" ht="24.75" customHeight="1">
      <c r="A50" s="188">
        <v>45.0</v>
      </c>
      <c r="B50" s="192">
        <v>45929.0</v>
      </c>
      <c r="C50" s="190">
        <v>60.0</v>
      </c>
      <c r="D50" s="188"/>
      <c r="E50" s="188">
        <v>1.0</v>
      </c>
      <c r="F50" s="190" t="s">
        <v>445</v>
      </c>
      <c r="G50" s="191" t="s">
        <v>446</v>
      </c>
      <c r="H50" s="192">
        <v>45929.0</v>
      </c>
      <c r="I50" s="188" t="s">
        <v>69</v>
      </c>
      <c r="J50" s="188"/>
      <c r="K50" s="21"/>
    </row>
    <row r="51" ht="24.75" customHeight="1">
      <c r="A51" s="188">
        <v>46.0</v>
      </c>
      <c r="B51" s="192">
        <v>45929.0</v>
      </c>
      <c r="C51" s="190">
        <v>83.0</v>
      </c>
      <c r="D51" s="188"/>
      <c r="E51" s="188"/>
      <c r="F51" s="190" t="s">
        <v>421</v>
      </c>
      <c r="G51" s="191" t="s">
        <v>447</v>
      </c>
      <c r="H51" s="192">
        <v>45929.0</v>
      </c>
      <c r="I51" s="188" t="s">
        <v>69</v>
      </c>
      <c r="J51" s="188"/>
      <c r="K51" s="21"/>
    </row>
    <row r="52" ht="24.75" customHeight="1">
      <c r="A52" s="188">
        <v>47.0</v>
      </c>
      <c r="B52" s="192">
        <v>45930.0</v>
      </c>
      <c r="C52" s="190">
        <v>121.0</v>
      </c>
      <c r="D52" s="188" t="s">
        <v>413</v>
      </c>
      <c r="E52" s="188">
        <v>2.0</v>
      </c>
      <c r="F52" s="190" t="s">
        <v>438</v>
      </c>
      <c r="G52" s="191" t="s">
        <v>448</v>
      </c>
      <c r="H52" s="192">
        <v>45930.0</v>
      </c>
      <c r="I52" s="188" t="s">
        <v>69</v>
      </c>
      <c r="J52" s="188"/>
      <c r="K52" s="21"/>
    </row>
    <row r="53" ht="24.75" customHeight="1">
      <c r="A53" s="188">
        <v>48.0</v>
      </c>
      <c r="B53" s="192">
        <v>45930.0</v>
      </c>
      <c r="C53" s="190">
        <v>75.0</v>
      </c>
      <c r="D53" s="188"/>
      <c r="E53" s="188"/>
      <c r="F53" s="190" t="s">
        <v>421</v>
      </c>
      <c r="G53" s="188" t="s">
        <v>449</v>
      </c>
      <c r="H53" s="192">
        <v>45930.0</v>
      </c>
      <c r="I53" s="188" t="s">
        <v>69</v>
      </c>
      <c r="J53" s="188"/>
      <c r="K53" s="21"/>
    </row>
    <row r="54" ht="24.75" customHeight="1">
      <c r="A54" s="188">
        <v>49.0</v>
      </c>
      <c r="B54" s="192">
        <v>45931.0</v>
      </c>
      <c r="C54" s="190">
        <v>121.0</v>
      </c>
      <c r="D54" s="188" t="s">
        <v>413</v>
      </c>
      <c r="E54" s="188">
        <v>2.0</v>
      </c>
      <c r="F54" s="190" t="s">
        <v>438</v>
      </c>
      <c r="G54" s="191" t="s">
        <v>450</v>
      </c>
      <c r="H54" s="192">
        <v>45931.0</v>
      </c>
      <c r="I54" s="188" t="s">
        <v>69</v>
      </c>
      <c r="J54" s="188"/>
      <c r="K54" s="21"/>
    </row>
    <row r="55" ht="24.75" customHeight="1">
      <c r="A55" s="188">
        <v>50.0</v>
      </c>
      <c r="B55" s="192">
        <v>45931.0</v>
      </c>
      <c r="C55" s="190">
        <v>113.0</v>
      </c>
      <c r="D55" s="188"/>
      <c r="E55" s="188"/>
      <c r="F55" s="190" t="s">
        <v>421</v>
      </c>
      <c r="G55" s="191" t="s">
        <v>451</v>
      </c>
      <c r="H55" s="192">
        <v>45931.0</v>
      </c>
      <c r="I55" s="188" t="s">
        <v>69</v>
      </c>
      <c r="J55" s="188"/>
      <c r="K55" s="21"/>
    </row>
    <row r="56" ht="24.75" customHeight="1">
      <c r="A56" s="188">
        <v>51.0</v>
      </c>
      <c r="B56" s="192">
        <v>45932.0</v>
      </c>
      <c r="C56" s="190">
        <v>102.0</v>
      </c>
      <c r="D56" s="188" t="s">
        <v>426</v>
      </c>
      <c r="E56" s="188">
        <v>1.0</v>
      </c>
      <c r="F56" s="190" t="s">
        <v>452</v>
      </c>
      <c r="G56" s="188" t="s">
        <v>430</v>
      </c>
      <c r="H56" s="192">
        <v>45932.0</v>
      </c>
      <c r="I56" s="188" t="s">
        <v>69</v>
      </c>
      <c r="J56" s="188"/>
      <c r="K56" s="21"/>
    </row>
    <row r="57" ht="24.75" customHeight="1">
      <c r="A57" s="188">
        <v>52.0</v>
      </c>
      <c r="B57" s="192">
        <v>45934.0</v>
      </c>
      <c r="C57" s="190">
        <v>114.0</v>
      </c>
      <c r="D57" s="188"/>
      <c r="E57" s="188">
        <v>1.0</v>
      </c>
      <c r="F57" s="190" t="s">
        <v>453</v>
      </c>
      <c r="G57" s="188" t="s">
        <v>454</v>
      </c>
      <c r="H57" s="192">
        <v>45934.0</v>
      </c>
      <c r="I57" s="188" t="s">
        <v>69</v>
      </c>
      <c r="J57" s="188"/>
      <c r="K57" s="21"/>
    </row>
    <row r="58" ht="24.75" customHeight="1">
      <c r="A58" s="188">
        <v>53.0</v>
      </c>
      <c r="B58" s="192">
        <v>45936.0</v>
      </c>
      <c r="C58" s="190">
        <v>22.0</v>
      </c>
      <c r="D58" s="188">
        <v>1.0</v>
      </c>
      <c r="E58" s="188">
        <v>1.0</v>
      </c>
      <c r="F58" s="190" t="s">
        <v>427</v>
      </c>
      <c r="G58" s="188" t="s">
        <v>430</v>
      </c>
      <c r="H58" s="192">
        <v>45936.0</v>
      </c>
      <c r="I58" s="188" t="s">
        <v>69</v>
      </c>
      <c r="J58" s="188"/>
      <c r="K58" s="21"/>
    </row>
    <row r="59" ht="24.75" customHeight="1">
      <c r="A59" s="188">
        <v>54.0</v>
      </c>
      <c r="B59" s="192">
        <v>45936.0</v>
      </c>
      <c r="C59" s="190">
        <v>34.0</v>
      </c>
      <c r="D59" s="188">
        <v>5.0</v>
      </c>
      <c r="E59" s="188">
        <v>2.0</v>
      </c>
      <c r="F59" s="190" t="s">
        <v>427</v>
      </c>
      <c r="G59" s="188" t="s">
        <v>430</v>
      </c>
      <c r="H59" s="192">
        <v>45936.0</v>
      </c>
      <c r="I59" s="188" t="s">
        <v>69</v>
      </c>
      <c r="J59" s="188"/>
      <c r="K59" s="21"/>
    </row>
    <row r="60" ht="24.75" customHeight="1">
      <c r="A60" s="188">
        <v>55.0</v>
      </c>
      <c r="B60" s="192">
        <v>45936.0</v>
      </c>
      <c r="C60" s="190">
        <v>75.0</v>
      </c>
      <c r="D60" s="188"/>
      <c r="E60" s="188">
        <v>1.0</v>
      </c>
      <c r="F60" s="190" t="s">
        <v>455</v>
      </c>
      <c r="G60" s="188" t="s">
        <v>456</v>
      </c>
      <c r="H60" s="192">
        <v>45936.0</v>
      </c>
      <c r="I60" s="188" t="s">
        <v>69</v>
      </c>
      <c r="J60" s="188"/>
      <c r="K60" s="21"/>
    </row>
    <row r="61" ht="24.75" customHeight="1">
      <c r="A61" s="188">
        <v>56.0</v>
      </c>
      <c r="B61" s="192">
        <v>45936.0</v>
      </c>
      <c r="C61" s="190">
        <v>76.0</v>
      </c>
      <c r="D61" s="188"/>
      <c r="E61" s="188">
        <v>1.0</v>
      </c>
      <c r="F61" s="190" t="s">
        <v>455</v>
      </c>
      <c r="G61" s="188" t="s">
        <v>457</v>
      </c>
      <c r="H61" s="192">
        <v>45936.0</v>
      </c>
      <c r="I61" s="188" t="s">
        <v>69</v>
      </c>
      <c r="J61" s="188"/>
      <c r="K61" s="21"/>
    </row>
    <row r="62" ht="24.75" customHeight="1">
      <c r="A62" s="188">
        <v>57.0</v>
      </c>
      <c r="B62" s="192">
        <v>45936.0</v>
      </c>
      <c r="C62" s="190">
        <v>31.0</v>
      </c>
      <c r="D62" s="188"/>
      <c r="E62" s="188">
        <v>1.0</v>
      </c>
      <c r="F62" s="191" t="s">
        <v>458</v>
      </c>
      <c r="G62" s="188" t="s">
        <v>459</v>
      </c>
      <c r="H62" s="192">
        <v>45936.0</v>
      </c>
      <c r="I62" s="188" t="s">
        <v>69</v>
      </c>
      <c r="J62" s="188"/>
      <c r="K62" s="21"/>
    </row>
    <row r="63" ht="24.75" customHeight="1">
      <c r="A63" s="188">
        <v>58.0</v>
      </c>
      <c r="B63" s="192">
        <v>45937.0</v>
      </c>
      <c r="C63" s="190">
        <v>54.0</v>
      </c>
      <c r="D63" s="188" t="s">
        <v>460</v>
      </c>
      <c r="E63" s="188">
        <v>1.0</v>
      </c>
      <c r="F63" s="190" t="s">
        <v>427</v>
      </c>
      <c r="G63" s="188" t="s">
        <v>430</v>
      </c>
      <c r="H63" s="192">
        <v>45937.0</v>
      </c>
      <c r="I63" s="188" t="s">
        <v>69</v>
      </c>
      <c r="J63" s="188"/>
      <c r="K63" s="21"/>
    </row>
    <row r="64" ht="24.75" customHeight="1">
      <c r="A64" s="188">
        <v>59.0</v>
      </c>
      <c r="B64" s="192">
        <v>45937.0</v>
      </c>
      <c r="C64" s="190">
        <v>54.0</v>
      </c>
      <c r="D64" s="188">
        <v>7.0</v>
      </c>
      <c r="E64" s="188">
        <v>2.0</v>
      </c>
      <c r="F64" s="190" t="s">
        <v>427</v>
      </c>
      <c r="G64" s="188" t="s">
        <v>430</v>
      </c>
      <c r="H64" s="192">
        <v>45937.0</v>
      </c>
      <c r="I64" s="188" t="s">
        <v>69</v>
      </c>
      <c r="J64" s="188"/>
      <c r="K64" s="21"/>
    </row>
    <row r="65" ht="24.75" customHeight="1">
      <c r="A65" s="188">
        <v>60.0</v>
      </c>
      <c r="B65" s="192">
        <v>45937.0</v>
      </c>
      <c r="C65" s="190">
        <v>131.0</v>
      </c>
      <c r="D65" s="188"/>
      <c r="E65" s="188"/>
      <c r="F65" s="190" t="s">
        <v>453</v>
      </c>
      <c r="G65" s="188" t="s">
        <v>454</v>
      </c>
      <c r="H65" s="192">
        <v>45937.0</v>
      </c>
      <c r="I65" s="188" t="s">
        <v>69</v>
      </c>
      <c r="J65" s="188"/>
      <c r="K65" s="21"/>
    </row>
    <row r="66" ht="24.75" customHeight="1">
      <c r="A66" s="188">
        <v>61.0</v>
      </c>
      <c r="B66" s="192">
        <v>45937.0</v>
      </c>
      <c r="C66" s="190">
        <v>109.0</v>
      </c>
      <c r="D66" s="188"/>
      <c r="E66" s="188"/>
      <c r="F66" s="190" t="s">
        <v>453</v>
      </c>
      <c r="G66" s="188" t="s">
        <v>454</v>
      </c>
      <c r="H66" s="192">
        <v>45937.0</v>
      </c>
      <c r="I66" s="188" t="s">
        <v>69</v>
      </c>
      <c r="J66" s="188"/>
      <c r="K66" s="21"/>
    </row>
    <row r="67" ht="24.75" customHeight="1">
      <c r="A67" s="188">
        <v>62.0</v>
      </c>
      <c r="B67" s="192">
        <v>45937.0</v>
      </c>
      <c r="C67" s="190">
        <v>79.0</v>
      </c>
      <c r="D67" s="188"/>
      <c r="E67" s="188"/>
      <c r="F67" s="190" t="s">
        <v>453</v>
      </c>
      <c r="G67" s="188" t="s">
        <v>454</v>
      </c>
      <c r="H67" s="192">
        <v>45937.0</v>
      </c>
      <c r="I67" s="188" t="s">
        <v>69</v>
      </c>
      <c r="J67" s="188"/>
      <c r="K67" s="21"/>
    </row>
    <row r="68" ht="24.75" customHeight="1">
      <c r="A68" s="188">
        <v>63.0</v>
      </c>
      <c r="B68" s="192">
        <v>45937.0</v>
      </c>
      <c r="C68" s="190">
        <v>14.0</v>
      </c>
      <c r="D68" s="188">
        <v>1.0</v>
      </c>
      <c r="E68" s="188">
        <v>1.0</v>
      </c>
      <c r="F68" s="190" t="s">
        <v>432</v>
      </c>
      <c r="G68" s="188" t="s">
        <v>461</v>
      </c>
      <c r="H68" s="192">
        <v>45937.0</v>
      </c>
      <c r="I68" s="188" t="s">
        <v>69</v>
      </c>
      <c r="J68" s="188"/>
      <c r="K68" s="21"/>
    </row>
    <row r="69" ht="24.75" customHeight="1">
      <c r="A69" s="188">
        <v>64.0</v>
      </c>
      <c r="B69" s="192">
        <v>45938.0</v>
      </c>
      <c r="C69" s="190">
        <v>132.0</v>
      </c>
      <c r="D69" s="188"/>
      <c r="E69" s="188"/>
      <c r="F69" s="190" t="s">
        <v>453</v>
      </c>
      <c r="G69" s="188" t="s">
        <v>454</v>
      </c>
      <c r="H69" s="192">
        <v>45938.0</v>
      </c>
      <c r="I69" s="188" t="s">
        <v>69</v>
      </c>
      <c r="J69" s="188"/>
      <c r="K69" s="21"/>
    </row>
    <row r="70" ht="24.75" customHeight="1">
      <c r="A70" s="188">
        <v>65.0</v>
      </c>
      <c r="B70" s="192">
        <v>45938.0</v>
      </c>
      <c r="C70" s="190">
        <v>63.0</v>
      </c>
      <c r="D70" s="188"/>
      <c r="E70" s="188"/>
      <c r="F70" s="190" t="s">
        <v>462</v>
      </c>
      <c r="G70" s="188" t="s">
        <v>463</v>
      </c>
      <c r="H70" s="192">
        <v>45938.0</v>
      </c>
      <c r="I70" s="188" t="s">
        <v>69</v>
      </c>
      <c r="J70" s="188"/>
      <c r="K70" s="21"/>
    </row>
    <row r="71" ht="24.75" customHeight="1">
      <c r="A71" s="188">
        <v>66.0</v>
      </c>
      <c r="B71" s="192">
        <v>45940.0</v>
      </c>
      <c r="C71" s="190">
        <v>130.0</v>
      </c>
      <c r="D71" s="188">
        <v>2.0</v>
      </c>
      <c r="E71" s="188">
        <v>1.0</v>
      </c>
      <c r="F71" s="190" t="s">
        <v>464</v>
      </c>
      <c r="G71" s="188" t="s">
        <v>430</v>
      </c>
      <c r="H71" s="192">
        <v>45940.0</v>
      </c>
      <c r="I71" s="188" t="s">
        <v>69</v>
      </c>
      <c r="J71" s="188"/>
      <c r="K71" s="21"/>
    </row>
    <row r="72" ht="24.75" customHeight="1">
      <c r="A72" s="188">
        <v>67.0</v>
      </c>
      <c r="B72" s="192">
        <v>45942.0</v>
      </c>
      <c r="C72" s="190">
        <v>117.0</v>
      </c>
      <c r="D72" s="188">
        <v>6.0</v>
      </c>
      <c r="E72" s="188">
        <v>2.0</v>
      </c>
      <c r="F72" s="190" t="s">
        <v>432</v>
      </c>
      <c r="G72" s="188" t="s">
        <v>465</v>
      </c>
      <c r="H72" s="192">
        <v>45942.0</v>
      </c>
      <c r="I72" s="188" t="s">
        <v>69</v>
      </c>
      <c r="J72" s="188"/>
      <c r="K72" s="21"/>
    </row>
    <row r="73" ht="24.75" customHeight="1">
      <c r="A73" s="188">
        <v>68.0</v>
      </c>
      <c r="B73" s="192">
        <v>45942.0</v>
      </c>
      <c r="C73" s="190">
        <v>2.0</v>
      </c>
      <c r="D73" s="188" t="s">
        <v>466</v>
      </c>
      <c r="E73" s="188">
        <v>2.0</v>
      </c>
      <c r="F73" s="190" t="s">
        <v>427</v>
      </c>
      <c r="G73" s="188" t="s">
        <v>430</v>
      </c>
      <c r="H73" s="192">
        <v>45942.0</v>
      </c>
      <c r="I73" s="188" t="s">
        <v>69</v>
      </c>
      <c r="J73" s="188"/>
      <c r="K73" s="21"/>
    </row>
    <row r="74" ht="24.75" customHeight="1">
      <c r="A74" s="188">
        <v>69.0</v>
      </c>
      <c r="B74" s="192">
        <v>45943.0</v>
      </c>
      <c r="C74" s="190">
        <v>11.0</v>
      </c>
      <c r="D74" s="188">
        <v>8.0</v>
      </c>
      <c r="E74" s="188">
        <v>2.0</v>
      </c>
      <c r="F74" s="190" t="s">
        <v>432</v>
      </c>
      <c r="G74" s="188" t="s">
        <v>467</v>
      </c>
      <c r="H74" s="192">
        <v>45943.0</v>
      </c>
      <c r="I74" s="188" t="s">
        <v>69</v>
      </c>
      <c r="J74" s="188"/>
      <c r="K74" s="21"/>
    </row>
    <row r="75" ht="24.75" customHeight="1">
      <c r="A75" s="188">
        <v>70.0</v>
      </c>
      <c r="B75" s="192">
        <v>45944.0</v>
      </c>
      <c r="C75" s="190">
        <v>42.0</v>
      </c>
      <c r="D75" s="188">
        <v>1.0</v>
      </c>
      <c r="E75" s="188">
        <v>1.0</v>
      </c>
      <c r="F75" s="190" t="s">
        <v>464</v>
      </c>
      <c r="G75" s="188" t="s">
        <v>430</v>
      </c>
      <c r="H75" s="192">
        <v>45944.0</v>
      </c>
      <c r="I75" s="188" t="s">
        <v>69</v>
      </c>
      <c r="J75" s="188"/>
      <c r="K75" s="21"/>
    </row>
    <row r="76" ht="24.75" customHeight="1">
      <c r="A76" s="188">
        <v>71.0</v>
      </c>
      <c r="B76" s="192">
        <v>45947.0</v>
      </c>
      <c r="C76" s="190">
        <v>62.0</v>
      </c>
      <c r="D76" s="188"/>
      <c r="E76" s="188">
        <v>1.0</v>
      </c>
      <c r="F76" s="190" t="s">
        <v>464</v>
      </c>
      <c r="G76" s="188" t="s">
        <v>430</v>
      </c>
      <c r="H76" s="192">
        <v>45947.0</v>
      </c>
      <c r="I76" s="188" t="s">
        <v>69</v>
      </c>
      <c r="J76" s="188"/>
      <c r="K76" s="21"/>
    </row>
    <row r="77" ht="24.75" customHeight="1">
      <c r="A77" s="188">
        <v>72.0</v>
      </c>
      <c r="B77" s="192">
        <v>45948.0</v>
      </c>
      <c r="C77" s="190">
        <v>114.0</v>
      </c>
      <c r="D77" s="188">
        <v>4.0</v>
      </c>
      <c r="E77" s="188">
        <v>1.0</v>
      </c>
      <c r="F77" s="190" t="s">
        <v>468</v>
      </c>
      <c r="G77" s="188" t="s">
        <v>469</v>
      </c>
      <c r="H77" s="192">
        <v>45948.0</v>
      </c>
      <c r="I77" s="188" t="s">
        <v>69</v>
      </c>
      <c r="J77" s="188"/>
      <c r="K77" s="21"/>
    </row>
    <row r="78" ht="24.75" customHeight="1">
      <c r="A78" s="188">
        <v>73.0</v>
      </c>
      <c r="B78" s="192">
        <v>45948.0</v>
      </c>
      <c r="C78" s="190">
        <v>76.0</v>
      </c>
      <c r="D78" s="188"/>
      <c r="E78" s="188"/>
      <c r="F78" s="190" t="s">
        <v>453</v>
      </c>
      <c r="G78" s="188" t="s">
        <v>470</v>
      </c>
      <c r="H78" s="192">
        <v>45948.0</v>
      </c>
      <c r="I78" s="188" t="s">
        <v>69</v>
      </c>
      <c r="J78" s="188"/>
      <c r="K78" s="21"/>
    </row>
    <row r="79" ht="24.75" customHeight="1">
      <c r="A79" s="188">
        <v>74.0</v>
      </c>
      <c r="B79" s="192">
        <v>45948.0</v>
      </c>
      <c r="C79" s="190">
        <v>72.0</v>
      </c>
      <c r="D79" s="188">
        <v>2.0</v>
      </c>
      <c r="E79" s="188">
        <v>1.0</v>
      </c>
      <c r="F79" s="190" t="s">
        <v>311</v>
      </c>
      <c r="G79" s="188" t="s">
        <v>430</v>
      </c>
      <c r="H79" s="192">
        <v>45948.0</v>
      </c>
      <c r="I79" s="188" t="s">
        <v>69</v>
      </c>
      <c r="J79" s="188"/>
      <c r="K79" s="21"/>
    </row>
    <row r="80" ht="24.75" customHeight="1">
      <c r="A80" s="188">
        <v>75.0</v>
      </c>
      <c r="B80" s="192">
        <v>45949.0</v>
      </c>
      <c r="C80" s="190">
        <v>84.0</v>
      </c>
      <c r="D80" s="188">
        <v>5.0</v>
      </c>
      <c r="E80" s="188">
        <v>2.0</v>
      </c>
      <c r="F80" s="190" t="s">
        <v>311</v>
      </c>
      <c r="G80" s="188" t="s">
        <v>430</v>
      </c>
      <c r="H80" s="192">
        <v>45949.0</v>
      </c>
      <c r="I80" s="188" t="s">
        <v>69</v>
      </c>
      <c r="J80" s="188"/>
      <c r="K80" s="21"/>
    </row>
    <row r="81" ht="24.75" customHeight="1">
      <c r="A81" s="188">
        <v>76.0</v>
      </c>
      <c r="B81" s="192">
        <v>45949.0</v>
      </c>
      <c r="C81" s="190">
        <v>72.0</v>
      </c>
      <c r="D81" s="188">
        <v>2.0</v>
      </c>
      <c r="E81" s="188">
        <v>1.0</v>
      </c>
      <c r="F81" s="190" t="s">
        <v>311</v>
      </c>
      <c r="G81" s="188" t="s">
        <v>430</v>
      </c>
      <c r="H81" s="192">
        <v>45949.0</v>
      </c>
      <c r="I81" s="188" t="s">
        <v>69</v>
      </c>
      <c r="J81" s="188"/>
      <c r="K81" s="21"/>
    </row>
    <row r="82" ht="24.75" customHeight="1">
      <c r="A82" s="188">
        <v>77.0</v>
      </c>
      <c r="B82" s="192">
        <v>45950.0</v>
      </c>
      <c r="C82" s="190">
        <v>30.0</v>
      </c>
      <c r="D82" s="188">
        <v>5.0</v>
      </c>
      <c r="E82" s="188">
        <v>2.0</v>
      </c>
      <c r="F82" s="190" t="s">
        <v>427</v>
      </c>
      <c r="G82" s="188" t="s">
        <v>430</v>
      </c>
      <c r="H82" s="192">
        <v>45950.0</v>
      </c>
      <c r="I82" s="188" t="s">
        <v>69</v>
      </c>
      <c r="J82" s="188"/>
      <c r="K82" s="21"/>
    </row>
    <row r="83" ht="24.75" customHeight="1">
      <c r="A83" s="188">
        <v>78.0</v>
      </c>
      <c r="B83" s="192">
        <v>45950.0</v>
      </c>
      <c r="C83" s="190">
        <v>110.0</v>
      </c>
      <c r="D83" s="188" t="s">
        <v>466</v>
      </c>
      <c r="E83" s="188">
        <v>2.0</v>
      </c>
      <c r="F83" s="190" t="s">
        <v>464</v>
      </c>
      <c r="G83" s="188" t="s">
        <v>430</v>
      </c>
      <c r="H83" s="192">
        <v>45950.0</v>
      </c>
      <c r="I83" s="188" t="s">
        <v>69</v>
      </c>
      <c r="J83" s="188"/>
      <c r="K83" s="21"/>
    </row>
    <row r="84" ht="24.75" customHeight="1">
      <c r="A84" s="188">
        <v>79.0</v>
      </c>
      <c r="B84" s="192">
        <v>45950.0</v>
      </c>
      <c r="C84" s="190">
        <v>125.0</v>
      </c>
      <c r="D84" s="188">
        <v>4.0</v>
      </c>
      <c r="E84" s="188">
        <v>1.0</v>
      </c>
      <c r="F84" s="190" t="s">
        <v>311</v>
      </c>
      <c r="G84" s="188" t="s">
        <v>430</v>
      </c>
      <c r="H84" s="192">
        <v>45950.0</v>
      </c>
      <c r="I84" s="188" t="s">
        <v>69</v>
      </c>
      <c r="J84" s="188"/>
      <c r="K84" s="21"/>
    </row>
    <row r="85" ht="24.75" customHeight="1">
      <c r="A85" s="188">
        <v>80.0</v>
      </c>
      <c r="B85" s="192">
        <v>45950.0</v>
      </c>
      <c r="C85" s="190">
        <v>125.0</v>
      </c>
      <c r="D85" s="188" t="s">
        <v>471</v>
      </c>
      <c r="E85" s="188">
        <v>2.0</v>
      </c>
      <c r="F85" s="190" t="s">
        <v>464</v>
      </c>
      <c r="G85" s="188" t="s">
        <v>430</v>
      </c>
      <c r="H85" s="192">
        <v>45950.0</v>
      </c>
      <c r="I85" s="188" t="s">
        <v>69</v>
      </c>
      <c r="J85" s="188"/>
      <c r="K85" s="21"/>
    </row>
    <row r="86" ht="24.75" customHeight="1">
      <c r="A86" s="188">
        <v>81.0</v>
      </c>
      <c r="B86" s="192">
        <v>45951.0</v>
      </c>
      <c r="C86" s="190">
        <v>3.0</v>
      </c>
      <c r="D86" s="188">
        <v>8.0</v>
      </c>
      <c r="E86" s="188">
        <v>2.0</v>
      </c>
      <c r="F86" s="190" t="s">
        <v>464</v>
      </c>
      <c r="G86" s="188" t="s">
        <v>430</v>
      </c>
      <c r="H86" s="192">
        <v>45951.0</v>
      </c>
      <c r="I86" s="188" t="s">
        <v>69</v>
      </c>
      <c r="J86" s="188"/>
      <c r="K86" s="21"/>
    </row>
    <row r="87" ht="24.75" customHeight="1">
      <c r="A87" s="188">
        <v>82.0</v>
      </c>
      <c r="B87" s="192">
        <v>45951.0</v>
      </c>
      <c r="C87" s="190">
        <v>1.0</v>
      </c>
      <c r="D87" s="188" t="s">
        <v>413</v>
      </c>
      <c r="E87" s="188">
        <v>2.0</v>
      </c>
      <c r="F87" s="190" t="s">
        <v>311</v>
      </c>
      <c r="G87" s="188" t="s">
        <v>430</v>
      </c>
      <c r="H87" s="192">
        <v>45951.0</v>
      </c>
      <c r="I87" s="188" t="s">
        <v>69</v>
      </c>
      <c r="J87" s="188"/>
      <c r="K87" s="21"/>
    </row>
    <row r="88" ht="24.75" customHeight="1">
      <c r="A88" s="188">
        <v>83.0</v>
      </c>
      <c r="B88" s="192">
        <v>45952.0</v>
      </c>
      <c r="C88" s="190">
        <v>2.0</v>
      </c>
      <c r="D88" s="188" t="s">
        <v>472</v>
      </c>
      <c r="E88" s="188">
        <v>1.0</v>
      </c>
      <c r="F88" s="190" t="s">
        <v>311</v>
      </c>
      <c r="G88" s="188" t="s">
        <v>430</v>
      </c>
      <c r="H88" s="192">
        <v>45952.0</v>
      </c>
      <c r="I88" s="188" t="s">
        <v>69</v>
      </c>
      <c r="J88" s="188"/>
      <c r="K88" s="21"/>
    </row>
    <row r="89" ht="24.75" customHeight="1">
      <c r="A89" s="188">
        <v>84.0</v>
      </c>
      <c r="B89" s="192">
        <v>45953.0</v>
      </c>
      <c r="C89" s="190">
        <v>127.0</v>
      </c>
      <c r="D89" s="188" t="s">
        <v>473</v>
      </c>
      <c r="E89" s="188">
        <v>2.0</v>
      </c>
      <c r="F89" s="190" t="s">
        <v>474</v>
      </c>
      <c r="G89" s="188" t="s">
        <v>475</v>
      </c>
      <c r="H89" s="192">
        <v>45953.0</v>
      </c>
      <c r="I89" s="188" t="s">
        <v>69</v>
      </c>
      <c r="J89" s="188"/>
      <c r="K89" s="21"/>
    </row>
    <row r="90" ht="24.75" customHeight="1">
      <c r="A90" s="188">
        <v>85.0</v>
      </c>
      <c r="B90" s="192">
        <v>45953.0</v>
      </c>
      <c r="C90" s="190">
        <v>132.0</v>
      </c>
      <c r="D90" s="188">
        <v>6.0</v>
      </c>
      <c r="E90" s="188">
        <v>2.0</v>
      </c>
      <c r="F90" s="188" t="s">
        <v>407</v>
      </c>
      <c r="G90" s="188" t="s">
        <v>476</v>
      </c>
      <c r="H90" s="192">
        <v>45953.0</v>
      </c>
      <c r="I90" s="188" t="s">
        <v>69</v>
      </c>
      <c r="J90" s="188"/>
      <c r="K90" s="21"/>
    </row>
    <row r="91" ht="24.75" customHeight="1">
      <c r="A91" s="188">
        <v>86.0</v>
      </c>
      <c r="B91" s="192">
        <v>45957.0</v>
      </c>
      <c r="C91" s="190">
        <v>77.0</v>
      </c>
      <c r="D91" s="188"/>
      <c r="E91" s="188"/>
      <c r="F91" s="190" t="s">
        <v>453</v>
      </c>
      <c r="G91" s="188" t="s">
        <v>470</v>
      </c>
      <c r="H91" s="192">
        <v>45957.0</v>
      </c>
      <c r="I91" s="188" t="s">
        <v>69</v>
      </c>
      <c r="J91" s="188"/>
      <c r="K91" s="21"/>
    </row>
    <row r="92" ht="24.75" customHeight="1">
      <c r="A92" s="188">
        <v>87.0</v>
      </c>
      <c r="B92" s="192">
        <v>45959.0</v>
      </c>
      <c r="C92" s="190">
        <v>121.0</v>
      </c>
      <c r="D92" s="188"/>
      <c r="E92" s="188"/>
      <c r="F92" s="190" t="s">
        <v>453</v>
      </c>
      <c r="G92" s="188" t="s">
        <v>470</v>
      </c>
      <c r="H92" s="192">
        <v>45959.0</v>
      </c>
      <c r="I92" s="188" t="s">
        <v>69</v>
      </c>
      <c r="J92" s="188"/>
      <c r="K92" s="21"/>
    </row>
    <row r="93" ht="24.75" customHeight="1">
      <c r="A93" s="188">
        <v>88.0</v>
      </c>
      <c r="B93" s="192">
        <v>45960.0</v>
      </c>
      <c r="C93" s="190">
        <v>92.0</v>
      </c>
      <c r="D93" s="188"/>
      <c r="E93" s="188"/>
      <c r="F93" s="190" t="s">
        <v>453</v>
      </c>
      <c r="G93" s="188" t="s">
        <v>470</v>
      </c>
      <c r="H93" s="192">
        <v>45960.0</v>
      </c>
      <c r="I93" s="188" t="s">
        <v>69</v>
      </c>
      <c r="J93" s="188"/>
      <c r="K93" s="21"/>
    </row>
    <row r="94" ht="24.75" customHeight="1">
      <c r="A94" s="188">
        <v>89.0</v>
      </c>
      <c r="B94" s="192">
        <v>45963.0</v>
      </c>
      <c r="C94" s="190">
        <v>126.0</v>
      </c>
      <c r="D94" s="188"/>
      <c r="E94" s="188"/>
      <c r="F94" s="188" t="s">
        <v>477</v>
      </c>
      <c r="G94" s="188" t="s">
        <v>475</v>
      </c>
      <c r="H94" s="192">
        <v>45963.0</v>
      </c>
      <c r="I94" s="188" t="s">
        <v>69</v>
      </c>
      <c r="J94" s="188"/>
      <c r="K94" s="21"/>
    </row>
    <row r="95" ht="24.75" customHeight="1">
      <c r="A95" s="188">
        <v>90.0</v>
      </c>
      <c r="B95" s="192">
        <v>45965.0</v>
      </c>
      <c r="C95" s="190">
        <v>51.0</v>
      </c>
      <c r="D95" s="188">
        <v>6.0</v>
      </c>
      <c r="E95" s="188">
        <v>2.0</v>
      </c>
      <c r="F95" s="190" t="s">
        <v>427</v>
      </c>
      <c r="G95" s="188" t="s">
        <v>430</v>
      </c>
      <c r="H95" s="192">
        <v>45965.0</v>
      </c>
      <c r="I95" s="188" t="s">
        <v>69</v>
      </c>
      <c r="J95" s="188"/>
      <c r="K95" s="21"/>
    </row>
    <row r="96" ht="24.75" customHeight="1">
      <c r="A96" s="188">
        <v>91.0</v>
      </c>
      <c r="B96" s="192">
        <v>45965.0</v>
      </c>
      <c r="C96" s="190">
        <v>126.0</v>
      </c>
      <c r="D96" s="188"/>
      <c r="E96" s="188"/>
      <c r="F96" s="190" t="s">
        <v>478</v>
      </c>
      <c r="G96" s="188" t="s">
        <v>479</v>
      </c>
      <c r="H96" s="192">
        <v>45965.0</v>
      </c>
      <c r="I96" s="188" t="s">
        <v>69</v>
      </c>
      <c r="J96" s="188"/>
      <c r="K96" s="21"/>
    </row>
    <row r="97" ht="24.75" customHeight="1">
      <c r="A97" s="188">
        <v>92.0</v>
      </c>
      <c r="B97" s="192">
        <v>45966.0</v>
      </c>
      <c r="C97" s="190">
        <v>48.0</v>
      </c>
      <c r="D97" s="188">
        <v>2.0</v>
      </c>
      <c r="E97" s="188">
        <v>1.0</v>
      </c>
      <c r="F97" s="188" t="s">
        <v>480</v>
      </c>
      <c r="G97" s="188" t="s">
        <v>475</v>
      </c>
      <c r="H97" s="192">
        <v>45966.0</v>
      </c>
      <c r="I97" s="188" t="s">
        <v>69</v>
      </c>
      <c r="J97" s="188"/>
      <c r="K97" s="21"/>
    </row>
    <row r="98" ht="24.75" customHeight="1">
      <c r="A98" s="188">
        <v>93.0</v>
      </c>
      <c r="B98" s="192">
        <v>45966.0</v>
      </c>
      <c r="C98" s="190">
        <v>48.0</v>
      </c>
      <c r="D98" s="188">
        <v>8.0</v>
      </c>
      <c r="E98" s="188">
        <v>2.0</v>
      </c>
      <c r="F98" s="188" t="s">
        <v>480</v>
      </c>
      <c r="G98" s="188" t="s">
        <v>475</v>
      </c>
      <c r="H98" s="192">
        <v>45966.0</v>
      </c>
      <c r="I98" s="188" t="s">
        <v>69</v>
      </c>
      <c r="J98" s="188"/>
      <c r="K98" s="21"/>
    </row>
    <row r="99" ht="24.75" customHeight="1">
      <c r="A99" s="188">
        <v>94.0</v>
      </c>
      <c r="B99" s="192">
        <v>45966.0</v>
      </c>
      <c r="C99" s="190">
        <v>71.0</v>
      </c>
      <c r="D99" s="188">
        <v>5.0</v>
      </c>
      <c r="E99" s="188">
        <v>2.0</v>
      </c>
      <c r="F99" s="188" t="s">
        <v>480</v>
      </c>
      <c r="G99" s="188" t="s">
        <v>475</v>
      </c>
      <c r="H99" s="192">
        <v>45966.0</v>
      </c>
      <c r="I99" s="188" t="s">
        <v>69</v>
      </c>
      <c r="J99" s="188"/>
      <c r="K99" s="21"/>
    </row>
    <row r="100" ht="24.75" customHeight="1">
      <c r="A100" s="188">
        <v>95.0</v>
      </c>
      <c r="B100" s="192">
        <v>45966.0</v>
      </c>
      <c r="C100" s="190">
        <v>49.0</v>
      </c>
      <c r="D100" s="188">
        <v>8.0</v>
      </c>
      <c r="E100" s="188">
        <v>2.0</v>
      </c>
      <c r="F100" s="188" t="s">
        <v>480</v>
      </c>
      <c r="G100" s="188" t="s">
        <v>475</v>
      </c>
      <c r="H100" s="192">
        <v>45966.0</v>
      </c>
      <c r="I100" s="188" t="s">
        <v>69</v>
      </c>
      <c r="J100" s="188"/>
      <c r="K100" s="21"/>
    </row>
    <row r="101" ht="24.75" customHeight="1">
      <c r="A101" s="188">
        <v>96.0</v>
      </c>
      <c r="B101" s="192">
        <v>45966.0</v>
      </c>
      <c r="C101" s="190">
        <v>61.0</v>
      </c>
      <c r="D101" s="188">
        <v>6.0</v>
      </c>
      <c r="E101" s="188">
        <v>1.0</v>
      </c>
      <c r="F101" s="188" t="s">
        <v>480</v>
      </c>
      <c r="G101" s="188" t="s">
        <v>475</v>
      </c>
      <c r="H101" s="192">
        <v>45966.0</v>
      </c>
      <c r="I101" s="188" t="s">
        <v>69</v>
      </c>
      <c r="J101" s="188"/>
      <c r="K101" s="21"/>
    </row>
    <row r="102" ht="24.75" customHeight="1">
      <c r="A102" s="188">
        <v>97.0</v>
      </c>
      <c r="B102" s="192">
        <v>45966.0</v>
      </c>
      <c r="C102" s="190">
        <v>61.0</v>
      </c>
      <c r="D102" s="188">
        <v>7.0</v>
      </c>
      <c r="E102" s="188">
        <v>2.0</v>
      </c>
      <c r="F102" s="188" t="s">
        <v>480</v>
      </c>
      <c r="G102" s="188" t="s">
        <v>475</v>
      </c>
      <c r="H102" s="192">
        <v>45966.0</v>
      </c>
      <c r="I102" s="188" t="s">
        <v>69</v>
      </c>
      <c r="J102" s="188"/>
      <c r="K102" s="21"/>
    </row>
    <row r="103" ht="24.75" customHeight="1">
      <c r="A103" s="188">
        <v>98.0</v>
      </c>
      <c r="B103" s="192">
        <v>45966.0</v>
      </c>
      <c r="C103" s="190">
        <v>109.0</v>
      </c>
      <c r="D103" s="188">
        <v>5.0</v>
      </c>
      <c r="E103" s="188">
        <v>2.0</v>
      </c>
      <c r="F103" s="188" t="s">
        <v>480</v>
      </c>
      <c r="G103" s="188" t="s">
        <v>475</v>
      </c>
      <c r="H103" s="192">
        <v>45966.0</v>
      </c>
      <c r="I103" s="188" t="s">
        <v>69</v>
      </c>
      <c r="J103" s="188"/>
      <c r="K103" s="21"/>
    </row>
    <row r="104" ht="24.75" customHeight="1">
      <c r="A104" s="188">
        <v>99.0</v>
      </c>
      <c r="B104" s="192">
        <v>45966.0</v>
      </c>
      <c r="C104" s="190">
        <v>92.0</v>
      </c>
      <c r="D104" s="188"/>
      <c r="E104" s="188"/>
      <c r="F104" s="188" t="s">
        <v>311</v>
      </c>
      <c r="G104" s="188" t="s">
        <v>475</v>
      </c>
      <c r="H104" s="192">
        <v>45966.0</v>
      </c>
      <c r="I104" s="188" t="s">
        <v>69</v>
      </c>
      <c r="J104" s="188"/>
      <c r="K104" s="21"/>
    </row>
    <row r="105" ht="24.75" customHeight="1">
      <c r="A105" s="188">
        <v>100.0</v>
      </c>
      <c r="B105" s="192">
        <v>45968.0</v>
      </c>
      <c r="C105" s="190">
        <v>131.0</v>
      </c>
      <c r="D105" s="188">
        <v>4.0</v>
      </c>
      <c r="E105" s="188">
        <v>1.0</v>
      </c>
      <c r="F105" s="188" t="s">
        <v>480</v>
      </c>
      <c r="G105" s="188" t="s">
        <v>475</v>
      </c>
      <c r="H105" s="192">
        <v>45968.0</v>
      </c>
      <c r="I105" s="188" t="s">
        <v>69</v>
      </c>
      <c r="J105" s="188"/>
      <c r="K105" s="21"/>
    </row>
    <row r="106" ht="24.75" customHeight="1">
      <c r="A106" s="188">
        <v>101.0</v>
      </c>
      <c r="B106" s="192">
        <v>45968.0</v>
      </c>
      <c r="C106" s="190">
        <v>112.0</v>
      </c>
      <c r="D106" s="188">
        <v>7.0</v>
      </c>
      <c r="E106" s="188">
        <v>2.0</v>
      </c>
      <c r="F106" s="188" t="s">
        <v>311</v>
      </c>
      <c r="G106" s="188" t="s">
        <v>475</v>
      </c>
      <c r="H106" s="192">
        <v>45968.0</v>
      </c>
      <c r="I106" s="188" t="s">
        <v>69</v>
      </c>
      <c r="J106" s="188"/>
      <c r="K106" s="21"/>
    </row>
    <row r="107" ht="24.75" customHeight="1">
      <c r="A107" s="188">
        <v>102.0</v>
      </c>
      <c r="B107" s="192">
        <v>45968.0</v>
      </c>
      <c r="C107" s="190">
        <v>99.0</v>
      </c>
      <c r="D107" s="188">
        <v>6.0</v>
      </c>
      <c r="E107" s="188">
        <v>2.0</v>
      </c>
      <c r="F107" s="188" t="s">
        <v>311</v>
      </c>
      <c r="G107" s="188" t="s">
        <v>475</v>
      </c>
      <c r="H107" s="192">
        <v>45968.0</v>
      </c>
      <c r="I107" s="188" t="s">
        <v>69</v>
      </c>
      <c r="J107" s="188"/>
      <c r="K107" s="21"/>
    </row>
    <row r="108" ht="24.75" customHeight="1">
      <c r="A108" s="188">
        <v>103.0</v>
      </c>
      <c r="B108" s="192">
        <v>45968.0</v>
      </c>
      <c r="C108" s="190">
        <v>74.0</v>
      </c>
      <c r="D108" s="188">
        <v>6.0</v>
      </c>
      <c r="E108" s="188">
        <v>2.0</v>
      </c>
      <c r="F108" s="188" t="s">
        <v>311</v>
      </c>
      <c r="G108" s="188" t="s">
        <v>475</v>
      </c>
      <c r="H108" s="192">
        <v>45968.0</v>
      </c>
      <c r="I108" s="188" t="s">
        <v>69</v>
      </c>
      <c r="J108" s="188"/>
      <c r="K108" s="21"/>
    </row>
    <row r="109" ht="24.75" customHeight="1">
      <c r="A109" s="188">
        <v>104.0</v>
      </c>
      <c r="B109" s="192">
        <v>45968.0</v>
      </c>
      <c r="C109" s="190">
        <v>94.0</v>
      </c>
      <c r="D109" s="188">
        <v>7.0</v>
      </c>
      <c r="E109" s="188">
        <v>2.0</v>
      </c>
      <c r="F109" s="188" t="s">
        <v>481</v>
      </c>
      <c r="G109" s="188" t="s">
        <v>475</v>
      </c>
      <c r="H109" s="192">
        <v>45968.0</v>
      </c>
      <c r="I109" s="188" t="s">
        <v>69</v>
      </c>
      <c r="J109" s="188"/>
      <c r="K109" s="21"/>
    </row>
    <row r="110" ht="24.75" customHeight="1">
      <c r="A110" s="188">
        <v>105.0</v>
      </c>
      <c r="B110" s="192">
        <v>45968.0</v>
      </c>
      <c r="C110" s="190">
        <v>108.0</v>
      </c>
      <c r="D110" s="188">
        <v>1.0</v>
      </c>
      <c r="E110" s="188">
        <v>1.0</v>
      </c>
      <c r="F110" s="188" t="s">
        <v>481</v>
      </c>
      <c r="G110" s="188" t="s">
        <v>475</v>
      </c>
      <c r="H110" s="192">
        <v>45968.0</v>
      </c>
      <c r="I110" s="188" t="s">
        <v>69</v>
      </c>
      <c r="J110" s="188"/>
      <c r="K110" s="21"/>
    </row>
    <row r="111" ht="24.75" customHeight="1">
      <c r="A111" s="188">
        <v>106.0</v>
      </c>
      <c r="B111" s="192">
        <v>45968.0</v>
      </c>
      <c r="C111" s="190">
        <v>123.0</v>
      </c>
      <c r="D111" s="188">
        <v>8.0</v>
      </c>
      <c r="E111" s="188">
        <v>2.0</v>
      </c>
      <c r="F111" s="188" t="s">
        <v>481</v>
      </c>
      <c r="G111" s="188" t="s">
        <v>475</v>
      </c>
      <c r="H111" s="192">
        <v>45968.0</v>
      </c>
      <c r="I111" s="188" t="s">
        <v>69</v>
      </c>
      <c r="J111" s="188"/>
      <c r="K111" s="21"/>
    </row>
    <row r="112" ht="24.75" customHeight="1">
      <c r="A112" s="188">
        <v>107.0</v>
      </c>
      <c r="B112" s="192">
        <v>45968.0</v>
      </c>
      <c r="C112" s="190">
        <v>70.0</v>
      </c>
      <c r="D112" s="188">
        <v>7.0</v>
      </c>
      <c r="E112" s="188">
        <v>2.0</v>
      </c>
      <c r="F112" s="188" t="s">
        <v>481</v>
      </c>
      <c r="G112" s="188" t="s">
        <v>475</v>
      </c>
      <c r="H112" s="192">
        <v>45968.0</v>
      </c>
      <c r="I112" s="188" t="s">
        <v>69</v>
      </c>
      <c r="J112" s="188"/>
      <c r="K112" s="21"/>
    </row>
    <row r="113" ht="24.75" customHeight="1">
      <c r="A113" s="188">
        <v>108.0</v>
      </c>
      <c r="B113" s="192">
        <v>45968.0</v>
      </c>
      <c r="C113" s="190">
        <v>94.0</v>
      </c>
      <c r="D113" s="188">
        <v>2.0</v>
      </c>
      <c r="E113" s="188">
        <v>1.0</v>
      </c>
      <c r="F113" s="188" t="s">
        <v>481</v>
      </c>
      <c r="G113" s="188" t="s">
        <v>475</v>
      </c>
      <c r="H113" s="192">
        <v>45968.0</v>
      </c>
      <c r="I113" s="188" t="s">
        <v>69</v>
      </c>
      <c r="J113" s="188"/>
      <c r="K113" s="21"/>
    </row>
    <row r="114" ht="24.75" customHeight="1">
      <c r="A114" s="188">
        <v>109.0</v>
      </c>
      <c r="B114" s="192">
        <v>45968.0</v>
      </c>
      <c r="C114" s="190">
        <v>23.0</v>
      </c>
      <c r="D114" s="188">
        <v>8.0</v>
      </c>
      <c r="E114" s="188">
        <v>2.0</v>
      </c>
      <c r="F114" s="188" t="s">
        <v>481</v>
      </c>
      <c r="G114" s="188" t="s">
        <v>475</v>
      </c>
      <c r="H114" s="192">
        <v>45968.0</v>
      </c>
      <c r="I114" s="188" t="s">
        <v>69</v>
      </c>
      <c r="J114" s="188"/>
      <c r="K114" s="21"/>
    </row>
    <row r="115" ht="24.75" customHeight="1">
      <c r="A115" s="188">
        <v>110.0</v>
      </c>
      <c r="B115" s="192">
        <v>45968.0</v>
      </c>
      <c r="C115" s="190">
        <v>33.0</v>
      </c>
      <c r="D115" s="188">
        <v>3.0</v>
      </c>
      <c r="E115" s="188">
        <v>1.0</v>
      </c>
      <c r="F115" s="188" t="s">
        <v>481</v>
      </c>
      <c r="G115" s="188" t="s">
        <v>475</v>
      </c>
      <c r="H115" s="192">
        <v>45968.0</v>
      </c>
      <c r="I115" s="188" t="s">
        <v>69</v>
      </c>
      <c r="J115" s="188"/>
      <c r="K115" s="21"/>
    </row>
    <row r="116" ht="24.75" customHeight="1">
      <c r="A116" s="188">
        <v>111.0</v>
      </c>
      <c r="B116" s="192">
        <v>45968.0</v>
      </c>
      <c r="C116" s="190">
        <v>18.0</v>
      </c>
      <c r="D116" s="188">
        <v>6.0</v>
      </c>
      <c r="E116" s="188">
        <v>2.0</v>
      </c>
      <c r="F116" s="188" t="s">
        <v>481</v>
      </c>
      <c r="G116" s="188" t="s">
        <v>475</v>
      </c>
      <c r="H116" s="192">
        <v>45968.0</v>
      </c>
      <c r="I116" s="188" t="s">
        <v>69</v>
      </c>
      <c r="J116" s="188"/>
      <c r="K116" s="21"/>
    </row>
    <row r="117" ht="24.75" customHeight="1">
      <c r="A117" s="188">
        <v>112.0</v>
      </c>
      <c r="B117" s="192">
        <v>45968.0</v>
      </c>
      <c r="C117" s="190">
        <v>54.0</v>
      </c>
      <c r="D117" s="188"/>
      <c r="E117" s="188"/>
      <c r="F117" s="188" t="s">
        <v>453</v>
      </c>
      <c r="G117" s="188"/>
      <c r="H117" s="192">
        <v>45968.0</v>
      </c>
      <c r="I117" s="188" t="s">
        <v>69</v>
      </c>
      <c r="J117" s="188"/>
      <c r="K117" s="21"/>
    </row>
    <row r="118" ht="24.75" customHeight="1">
      <c r="A118" s="188">
        <v>113.0</v>
      </c>
      <c r="B118" s="192">
        <v>45970.0</v>
      </c>
      <c r="C118" s="190">
        <v>8.0</v>
      </c>
      <c r="D118" s="188">
        <v>3.0</v>
      </c>
      <c r="E118" s="188">
        <v>1.0</v>
      </c>
      <c r="F118" s="188" t="s">
        <v>482</v>
      </c>
      <c r="G118" s="188" t="s">
        <v>475</v>
      </c>
      <c r="H118" s="192">
        <v>45970.0</v>
      </c>
      <c r="I118" s="188" t="s">
        <v>69</v>
      </c>
      <c r="J118" s="188"/>
      <c r="K118" s="21"/>
    </row>
    <row r="119" ht="24.75" customHeight="1">
      <c r="A119" s="188">
        <v>114.0</v>
      </c>
      <c r="B119" s="192">
        <v>45970.0</v>
      </c>
      <c r="C119" s="190">
        <v>15.0</v>
      </c>
      <c r="D119" s="188">
        <v>1.0</v>
      </c>
      <c r="E119" s="188">
        <v>6.0</v>
      </c>
      <c r="F119" s="188" t="s">
        <v>427</v>
      </c>
      <c r="G119" s="188" t="s">
        <v>483</v>
      </c>
      <c r="H119" s="192">
        <v>45970.0</v>
      </c>
      <c r="I119" s="188" t="s">
        <v>69</v>
      </c>
      <c r="J119" s="188"/>
      <c r="K119" s="21"/>
    </row>
    <row r="120" ht="24.75" customHeight="1">
      <c r="A120" s="188">
        <v>115.0</v>
      </c>
      <c r="B120" s="192">
        <v>45970.0</v>
      </c>
      <c r="C120" s="190">
        <v>129.0</v>
      </c>
      <c r="D120" s="188">
        <v>1.0</v>
      </c>
      <c r="E120" s="188">
        <v>6.0</v>
      </c>
      <c r="F120" s="188" t="s">
        <v>482</v>
      </c>
      <c r="G120" s="188" t="s">
        <v>475</v>
      </c>
      <c r="H120" s="192">
        <v>45970.0</v>
      </c>
      <c r="I120" s="188" t="s">
        <v>69</v>
      </c>
      <c r="J120" s="188"/>
      <c r="K120" s="21"/>
    </row>
    <row r="121" ht="24.75" customHeight="1">
      <c r="A121" s="188">
        <v>116.0</v>
      </c>
      <c r="B121" s="192">
        <v>45971.0</v>
      </c>
      <c r="C121" s="190">
        <v>15.0</v>
      </c>
      <c r="D121" s="188">
        <v>1.0</v>
      </c>
      <c r="E121" s="188">
        <v>1.0</v>
      </c>
      <c r="F121" s="188" t="s">
        <v>427</v>
      </c>
      <c r="G121" s="188" t="s">
        <v>483</v>
      </c>
      <c r="H121" s="192">
        <v>45971.0</v>
      </c>
      <c r="I121" s="188" t="s">
        <v>69</v>
      </c>
      <c r="J121" s="188"/>
      <c r="K121" s="21"/>
    </row>
    <row r="122" ht="24.75" customHeight="1">
      <c r="A122" s="188">
        <v>117.0</v>
      </c>
      <c r="B122" s="192">
        <v>45971.0</v>
      </c>
      <c r="C122" s="190">
        <v>54.0</v>
      </c>
      <c r="D122" s="188">
        <v>7.0</v>
      </c>
      <c r="E122" s="188">
        <v>2.0</v>
      </c>
      <c r="F122" s="188" t="s">
        <v>427</v>
      </c>
      <c r="G122" s="188" t="s">
        <v>483</v>
      </c>
      <c r="H122" s="192">
        <v>45971.0</v>
      </c>
      <c r="I122" s="188" t="s">
        <v>69</v>
      </c>
      <c r="J122" s="188"/>
      <c r="K122" s="21"/>
    </row>
    <row r="123" ht="13.5" customHeight="1">
      <c r="A123" s="188">
        <v>118.0</v>
      </c>
      <c r="B123" s="192">
        <v>45971.0</v>
      </c>
      <c r="C123" s="190">
        <v>108.0</v>
      </c>
      <c r="D123" s="188">
        <v>7.0</v>
      </c>
      <c r="E123" s="188">
        <v>2.0</v>
      </c>
      <c r="F123" s="188" t="s">
        <v>480</v>
      </c>
      <c r="G123" s="188" t="s">
        <v>475</v>
      </c>
      <c r="H123" s="192">
        <v>45971.0</v>
      </c>
      <c r="I123" s="188" t="s">
        <v>69</v>
      </c>
      <c r="J123" s="188"/>
      <c r="K123" s="21"/>
    </row>
    <row r="124" ht="13.5" customHeight="1">
      <c r="A124" s="188">
        <v>119.0</v>
      </c>
      <c r="B124" s="192">
        <v>45971.0</v>
      </c>
      <c r="C124" s="190">
        <v>108.0</v>
      </c>
      <c r="D124" s="188" t="s">
        <v>426</v>
      </c>
      <c r="E124" s="188">
        <v>1.0</v>
      </c>
      <c r="F124" s="188" t="s">
        <v>480</v>
      </c>
      <c r="G124" s="188" t="s">
        <v>475</v>
      </c>
      <c r="H124" s="192">
        <v>45971.0</v>
      </c>
      <c r="I124" s="188" t="s">
        <v>69</v>
      </c>
      <c r="J124" s="188"/>
      <c r="K124" s="21"/>
    </row>
    <row r="125" ht="13.5" customHeight="1">
      <c r="A125" s="188">
        <v>120.0</v>
      </c>
      <c r="B125" s="192">
        <v>45973.0</v>
      </c>
      <c r="C125" s="190">
        <v>78.0</v>
      </c>
      <c r="D125" s="188">
        <v>6.0</v>
      </c>
      <c r="E125" s="188">
        <v>2.0</v>
      </c>
      <c r="F125" s="188" t="s">
        <v>427</v>
      </c>
      <c r="G125" s="188" t="s">
        <v>483</v>
      </c>
      <c r="H125" s="192">
        <v>45973.0</v>
      </c>
      <c r="I125" s="188" t="s">
        <v>69</v>
      </c>
      <c r="J125" s="188"/>
      <c r="K125" s="21"/>
    </row>
    <row r="126" ht="13.5" customHeight="1">
      <c r="A126" s="188">
        <v>121.0</v>
      </c>
      <c r="B126" s="192">
        <v>45973.0</v>
      </c>
      <c r="C126" s="190">
        <v>104.0</v>
      </c>
      <c r="D126" s="188">
        <v>4.0</v>
      </c>
      <c r="E126" s="188">
        <v>1.0</v>
      </c>
      <c r="F126" s="188" t="s">
        <v>427</v>
      </c>
      <c r="G126" s="188" t="s">
        <v>483</v>
      </c>
      <c r="H126" s="192">
        <v>45973.0</v>
      </c>
      <c r="I126" s="188" t="s">
        <v>69</v>
      </c>
      <c r="J126" s="188"/>
      <c r="K126" s="21"/>
    </row>
    <row r="127" ht="13.5" customHeight="1">
      <c r="A127" s="188">
        <v>122.0</v>
      </c>
      <c r="B127" s="192">
        <v>45975.0</v>
      </c>
      <c r="C127" s="190">
        <v>15.0</v>
      </c>
      <c r="D127" s="188">
        <v>1.0</v>
      </c>
      <c r="E127" s="188">
        <v>1.0</v>
      </c>
      <c r="F127" s="188" t="s">
        <v>464</v>
      </c>
      <c r="G127" s="188" t="s">
        <v>483</v>
      </c>
      <c r="H127" s="192">
        <v>45975.0</v>
      </c>
      <c r="I127" s="188" t="s">
        <v>69</v>
      </c>
      <c r="J127" s="188"/>
      <c r="K127" s="21"/>
    </row>
    <row r="128" ht="13.5" customHeight="1">
      <c r="A128" s="188">
        <v>123.0</v>
      </c>
      <c r="B128" s="192">
        <v>45975.0</v>
      </c>
      <c r="C128" s="190">
        <v>67.0</v>
      </c>
      <c r="D128" s="188">
        <v>6.0</v>
      </c>
      <c r="E128" s="188">
        <v>2.0</v>
      </c>
      <c r="F128" s="188" t="s">
        <v>464</v>
      </c>
      <c r="G128" s="188" t="s">
        <v>483</v>
      </c>
      <c r="H128" s="192">
        <v>45975.0</v>
      </c>
      <c r="I128" s="188" t="s">
        <v>69</v>
      </c>
      <c r="J128" s="188"/>
      <c r="K128" s="21"/>
    </row>
    <row r="129" ht="13.5" customHeight="1">
      <c r="A129" s="188">
        <v>124.0</v>
      </c>
      <c r="B129" s="192">
        <v>45975.0</v>
      </c>
      <c r="C129" s="190">
        <v>67.0</v>
      </c>
      <c r="D129" s="188">
        <v>8.0</v>
      </c>
      <c r="E129" s="188">
        <v>2.0</v>
      </c>
      <c r="F129" s="188" t="s">
        <v>464</v>
      </c>
      <c r="G129" s="188" t="s">
        <v>483</v>
      </c>
      <c r="H129" s="192">
        <v>45975.0</v>
      </c>
      <c r="I129" s="188" t="s">
        <v>69</v>
      </c>
      <c r="J129" s="188"/>
      <c r="K129" s="21"/>
    </row>
    <row r="130" ht="13.5" customHeight="1">
      <c r="A130" s="188">
        <v>125.0</v>
      </c>
      <c r="B130" s="192">
        <v>45975.0</v>
      </c>
      <c r="C130" s="190">
        <v>90.0</v>
      </c>
      <c r="D130" s="188">
        <v>1.0</v>
      </c>
      <c r="E130" s="188">
        <v>1.0</v>
      </c>
      <c r="F130" s="188" t="s">
        <v>464</v>
      </c>
      <c r="G130" s="188" t="s">
        <v>483</v>
      </c>
      <c r="H130" s="192">
        <v>45975.0</v>
      </c>
      <c r="I130" s="188" t="s">
        <v>69</v>
      </c>
      <c r="J130" s="188"/>
      <c r="K130" s="21"/>
    </row>
    <row r="131" ht="13.5" customHeight="1">
      <c r="A131" s="188">
        <v>126.0</v>
      </c>
      <c r="B131" s="192">
        <v>45975.0</v>
      </c>
      <c r="C131" s="190">
        <v>90.0</v>
      </c>
      <c r="D131" s="188">
        <v>4.0</v>
      </c>
      <c r="E131" s="188">
        <v>1.0</v>
      </c>
      <c r="F131" s="188" t="s">
        <v>464</v>
      </c>
      <c r="G131" s="188" t="s">
        <v>483</v>
      </c>
      <c r="H131" s="192">
        <v>45975.0</v>
      </c>
      <c r="I131" s="188" t="s">
        <v>69</v>
      </c>
      <c r="J131" s="188"/>
      <c r="K131" s="21"/>
    </row>
    <row r="132" ht="13.5" customHeight="1">
      <c r="A132" s="188">
        <v>127.0</v>
      </c>
      <c r="B132" s="192">
        <v>45975.0</v>
      </c>
      <c r="C132" s="190">
        <v>90.0</v>
      </c>
      <c r="D132" s="188">
        <v>5.0</v>
      </c>
      <c r="E132" s="188">
        <v>2.0</v>
      </c>
      <c r="F132" s="188" t="s">
        <v>464</v>
      </c>
      <c r="G132" s="188" t="s">
        <v>483</v>
      </c>
      <c r="H132" s="192">
        <v>45975.0</v>
      </c>
      <c r="I132" s="188" t="s">
        <v>69</v>
      </c>
      <c r="J132" s="188"/>
      <c r="K132" s="21"/>
    </row>
    <row r="133" ht="13.5" customHeight="1">
      <c r="A133" s="188">
        <v>128.0</v>
      </c>
      <c r="B133" s="192">
        <v>45975.0</v>
      </c>
      <c r="C133" s="190">
        <v>90.0</v>
      </c>
      <c r="D133" s="188">
        <v>8.0</v>
      </c>
      <c r="E133" s="188">
        <v>2.0</v>
      </c>
      <c r="F133" s="188" t="s">
        <v>464</v>
      </c>
      <c r="G133" s="188" t="s">
        <v>483</v>
      </c>
      <c r="H133" s="192">
        <v>45975.0</v>
      </c>
      <c r="I133" s="188" t="s">
        <v>69</v>
      </c>
      <c r="J133" s="188"/>
      <c r="K133" s="21"/>
    </row>
    <row r="134" ht="13.5" customHeight="1">
      <c r="A134" s="188">
        <v>129.0</v>
      </c>
      <c r="B134" s="192">
        <v>45976.0</v>
      </c>
      <c r="C134" s="190">
        <v>19.0</v>
      </c>
      <c r="D134" s="188">
        <v>5.0</v>
      </c>
      <c r="E134" s="188">
        <v>2.0</v>
      </c>
      <c r="F134" s="188" t="s">
        <v>484</v>
      </c>
      <c r="G134" s="188" t="s">
        <v>483</v>
      </c>
      <c r="H134" s="192">
        <v>45976.0</v>
      </c>
      <c r="I134" s="188" t="s">
        <v>69</v>
      </c>
      <c r="J134" s="188"/>
      <c r="K134" s="21"/>
    </row>
    <row r="135" ht="13.5" customHeight="1">
      <c r="A135" s="188">
        <v>130.0</v>
      </c>
      <c r="B135" s="192">
        <v>45976.0</v>
      </c>
      <c r="C135" s="190">
        <v>28.0</v>
      </c>
      <c r="D135" s="188">
        <v>4.0</v>
      </c>
      <c r="E135" s="188">
        <v>1.0</v>
      </c>
      <c r="F135" s="188" t="s">
        <v>484</v>
      </c>
      <c r="G135" s="188" t="s">
        <v>483</v>
      </c>
      <c r="H135" s="192">
        <v>45976.0</v>
      </c>
      <c r="I135" s="188" t="s">
        <v>69</v>
      </c>
      <c r="J135" s="188"/>
      <c r="K135" s="21"/>
    </row>
    <row r="136" ht="13.5" customHeight="1">
      <c r="A136" s="188">
        <v>131.0</v>
      </c>
      <c r="B136" s="192">
        <v>45976.0</v>
      </c>
      <c r="C136" s="190">
        <v>125.0</v>
      </c>
      <c r="D136" s="188">
        <v>6.0</v>
      </c>
      <c r="E136" s="188">
        <v>2.0</v>
      </c>
      <c r="F136" s="188" t="s">
        <v>484</v>
      </c>
      <c r="G136" s="188" t="s">
        <v>483</v>
      </c>
      <c r="H136" s="192">
        <v>45976.0</v>
      </c>
      <c r="I136" s="188" t="s">
        <v>69</v>
      </c>
      <c r="J136" s="188"/>
      <c r="K136" s="21"/>
    </row>
    <row r="137" ht="13.5" customHeight="1">
      <c r="A137" s="188">
        <v>132.0</v>
      </c>
      <c r="B137" s="192">
        <v>45976.0</v>
      </c>
      <c r="C137" s="190">
        <v>92.0</v>
      </c>
      <c r="D137" s="188">
        <v>6.0</v>
      </c>
      <c r="E137" s="188">
        <v>2.0</v>
      </c>
      <c r="F137" s="188" t="s">
        <v>480</v>
      </c>
      <c r="G137" s="188" t="s">
        <v>483</v>
      </c>
      <c r="H137" s="192">
        <v>45976.0</v>
      </c>
      <c r="I137" s="188" t="s">
        <v>69</v>
      </c>
      <c r="J137" s="188"/>
      <c r="K137" s="21"/>
    </row>
    <row r="138" ht="13.5" customHeight="1">
      <c r="A138" s="188">
        <v>133.0</v>
      </c>
      <c r="B138" s="192">
        <v>45976.0</v>
      </c>
      <c r="C138" s="190">
        <v>73.0</v>
      </c>
      <c r="D138" s="188"/>
      <c r="E138" s="188">
        <v>2.0</v>
      </c>
      <c r="F138" s="188" t="s">
        <v>480</v>
      </c>
      <c r="G138" s="188" t="s">
        <v>483</v>
      </c>
      <c r="H138" s="192">
        <v>45976.0</v>
      </c>
      <c r="I138" s="188" t="s">
        <v>69</v>
      </c>
      <c r="J138" s="188"/>
      <c r="K138" s="21"/>
    </row>
    <row r="139" ht="13.5" customHeight="1">
      <c r="A139" s="188">
        <v>134.0</v>
      </c>
      <c r="B139" s="192">
        <v>45976.0</v>
      </c>
      <c r="C139" s="190">
        <v>41.0</v>
      </c>
      <c r="D139" s="188"/>
      <c r="E139" s="188">
        <v>1.0</v>
      </c>
      <c r="F139" s="188" t="s">
        <v>480</v>
      </c>
      <c r="G139" s="188" t="s">
        <v>483</v>
      </c>
      <c r="H139" s="192">
        <v>45976.0</v>
      </c>
      <c r="I139" s="188" t="s">
        <v>69</v>
      </c>
      <c r="J139" s="188"/>
      <c r="K139" s="21"/>
    </row>
    <row r="140" ht="13.5" customHeight="1">
      <c r="A140" s="188">
        <v>135.0</v>
      </c>
      <c r="B140" s="192">
        <v>45976.0</v>
      </c>
      <c r="C140" s="190">
        <v>105.0</v>
      </c>
      <c r="D140" s="188">
        <v>7.0</v>
      </c>
      <c r="E140" s="188">
        <v>2.0</v>
      </c>
      <c r="F140" s="188" t="s">
        <v>440</v>
      </c>
      <c r="G140" s="188" t="s">
        <v>483</v>
      </c>
      <c r="H140" s="192">
        <v>45976.0</v>
      </c>
      <c r="I140" s="188" t="s">
        <v>69</v>
      </c>
      <c r="J140" s="188"/>
      <c r="K140" s="21"/>
    </row>
    <row r="141" ht="13.5" customHeight="1">
      <c r="A141" s="188">
        <v>136.0</v>
      </c>
      <c r="B141" s="192">
        <v>45947.0</v>
      </c>
      <c r="C141" s="188">
        <v>62.0</v>
      </c>
      <c r="D141" s="188"/>
      <c r="E141" s="188">
        <v>1.0</v>
      </c>
      <c r="F141" s="190" t="s">
        <v>464</v>
      </c>
      <c r="G141" s="188" t="s">
        <v>430</v>
      </c>
      <c r="H141" s="192">
        <v>45948.0</v>
      </c>
      <c r="I141" s="188" t="s">
        <v>69</v>
      </c>
      <c r="J141" s="188"/>
      <c r="K141" s="21"/>
    </row>
    <row r="142" ht="13.5" customHeight="1">
      <c r="A142" s="188">
        <v>137.0</v>
      </c>
      <c r="B142" s="192">
        <v>45948.0</v>
      </c>
      <c r="C142" s="188">
        <v>114.0</v>
      </c>
      <c r="D142" s="188">
        <v>4.0</v>
      </c>
      <c r="E142" s="188">
        <v>1.0</v>
      </c>
      <c r="F142" s="190" t="s">
        <v>468</v>
      </c>
      <c r="G142" s="188" t="s">
        <v>469</v>
      </c>
      <c r="H142" s="192">
        <v>45948.0</v>
      </c>
      <c r="I142" s="188" t="s">
        <v>69</v>
      </c>
      <c r="J142" s="188"/>
      <c r="K142" s="21"/>
    </row>
    <row r="143" ht="13.5" customHeight="1">
      <c r="A143" s="188">
        <v>138.0</v>
      </c>
      <c r="B143" s="192">
        <v>45948.0</v>
      </c>
      <c r="C143" s="188">
        <v>76.0</v>
      </c>
      <c r="D143" s="188"/>
      <c r="E143" s="188"/>
      <c r="F143" s="190" t="s">
        <v>453</v>
      </c>
      <c r="G143" s="188" t="s">
        <v>470</v>
      </c>
      <c r="H143" s="192">
        <v>45948.0</v>
      </c>
      <c r="I143" s="188" t="s">
        <v>69</v>
      </c>
      <c r="J143" s="188"/>
      <c r="K143" s="21"/>
    </row>
    <row r="144" ht="13.5" customHeight="1">
      <c r="A144" s="188">
        <v>139.0</v>
      </c>
      <c r="B144" s="192">
        <v>45948.0</v>
      </c>
      <c r="C144" s="188">
        <v>72.0</v>
      </c>
      <c r="D144" s="188">
        <v>2.0</v>
      </c>
      <c r="E144" s="188">
        <v>1.0</v>
      </c>
      <c r="F144" s="190" t="s">
        <v>311</v>
      </c>
      <c r="G144" s="188" t="s">
        <v>430</v>
      </c>
      <c r="H144" s="192">
        <v>45948.0</v>
      </c>
      <c r="I144" s="188" t="s">
        <v>69</v>
      </c>
      <c r="J144" s="188"/>
      <c r="K144" s="21"/>
    </row>
    <row r="145" ht="13.5" customHeight="1">
      <c r="A145" s="188">
        <v>140.0</v>
      </c>
      <c r="B145" s="192">
        <v>45949.0</v>
      </c>
      <c r="C145" s="188">
        <v>84.0</v>
      </c>
      <c r="D145" s="188">
        <v>5.0</v>
      </c>
      <c r="E145" s="188">
        <v>2.0</v>
      </c>
      <c r="F145" s="190" t="s">
        <v>311</v>
      </c>
      <c r="G145" s="188" t="s">
        <v>430</v>
      </c>
      <c r="H145" s="192">
        <v>45949.0</v>
      </c>
      <c r="I145" s="188" t="s">
        <v>69</v>
      </c>
      <c r="J145" s="188"/>
      <c r="K145" s="21"/>
    </row>
    <row r="146" ht="13.5" customHeight="1">
      <c r="A146" s="188">
        <v>141.0</v>
      </c>
      <c r="B146" s="192">
        <v>45949.0</v>
      </c>
      <c r="C146" s="188">
        <v>72.0</v>
      </c>
      <c r="D146" s="188">
        <v>2.0</v>
      </c>
      <c r="E146" s="188">
        <v>1.0</v>
      </c>
      <c r="F146" s="190" t="s">
        <v>311</v>
      </c>
      <c r="G146" s="188" t="s">
        <v>430</v>
      </c>
      <c r="H146" s="192">
        <v>45949.0</v>
      </c>
      <c r="I146" s="188" t="s">
        <v>69</v>
      </c>
      <c r="J146" s="188"/>
      <c r="K146" s="21"/>
    </row>
    <row r="147" ht="13.5" customHeight="1">
      <c r="A147" s="188">
        <v>142.0</v>
      </c>
      <c r="B147" s="192">
        <v>45950.0</v>
      </c>
      <c r="C147" s="188">
        <v>30.0</v>
      </c>
      <c r="D147" s="188">
        <v>5.0</v>
      </c>
      <c r="E147" s="188">
        <v>2.0</v>
      </c>
      <c r="F147" s="190" t="s">
        <v>427</v>
      </c>
      <c r="G147" s="188" t="s">
        <v>430</v>
      </c>
      <c r="H147" s="192">
        <v>45950.0</v>
      </c>
      <c r="I147" s="188" t="s">
        <v>69</v>
      </c>
      <c r="J147" s="188"/>
      <c r="K147" s="21"/>
    </row>
    <row r="148" ht="13.5" customHeight="1">
      <c r="A148" s="188">
        <v>143.0</v>
      </c>
      <c r="B148" s="192">
        <v>45950.0</v>
      </c>
      <c r="C148" s="188">
        <v>110.0</v>
      </c>
      <c r="D148" s="188" t="s">
        <v>466</v>
      </c>
      <c r="E148" s="188">
        <v>2.0</v>
      </c>
      <c r="F148" s="190" t="s">
        <v>464</v>
      </c>
      <c r="G148" s="188" t="s">
        <v>430</v>
      </c>
      <c r="H148" s="192">
        <v>45950.0</v>
      </c>
      <c r="I148" s="188" t="s">
        <v>69</v>
      </c>
      <c r="J148" s="188"/>
      <c r="K148" s="21"/>
    </row>
    <row r="149" ht="13.5" customHeight="1">
      <c r="A149" s="188">
        <v>144.0</v>
      </c>
      <c r="B149" s="192">
        <v>45950.0</v>
      </c>
      <c r="C149" s="188">
        <v>125.0</v>
      </c>
      <c r="D149" s="188">
        <v>4.0</v>
      </c>
      <c r="E149" s="188">
        <v>1.0</v>
      </c>
      <c r="F149" s="190" t="s">
        <v>311</v>
      </c>
      <c r="G149" s="188" t="s">
        <v>430</v>
      </c>
      <c r="H149" s="192">
        <v>45950.0</v>
      </c>
      <c r="I149" s="188" t="s">
        <v>69</v>
      </c>
      <c r="J149" s="188"/>
      <c r="K149" s="21"/>
    </row>
    <row r="150" ht="13.5" customHeight="1">
      <c r="A150" s="188">
        <v>145.0</v>
      </c>
      <c r="B150" s="192">
        <v>45950.0</v>
      </c>
      <c r="C150" s="188">
        <v>125.0</v>
      </c>
      <c r="D150" s="188" t="s">
        <v>471</v>
      </c>
      <c r="E150" s="188">
        <v>2.0</v>
      </c>
      <c r="F150" s="190" t="s">
        <v>464</v>
      </c>
      <c r="G150" s="188" t="s">
        <v>430</v>
      </c>
      <c r="H150" s="192">
        <v>45950.0</v>
      </c>
      <c r="I150" s="188" t="s">
        <v>69</v>
      </c>
      <c r="J150" s="188"/>
      <c r="K150" s="21"/>
    </row>
    <row r="151" ht="13.5" customHeight="1">
      <c r="A151" s="188">
        <v>146.0</v>
      </c>
      <c r="B151" s="192">
        <v>45951.0</v>
      </c>
      <c r="C151" s="188">
        <v>3.0</v>
      </c>
      <c r="D151" s="188">
        <v>8.0</v>
      </c>
      <c r="E151" s="188">
        <v>2.0</v>
      </c>
      <c r="F151" s="190" t="s">
        <v>464</v>
      </c>
      <c r="G151" s="188" t="s">
        <v>430</v>
      </c>
      <c r="H151" s="192">
        <v>45951.0</v>
      </c>
      <c r="I151" s="188" t="s">
        <v>69</v>
      </c>
      <c r="J151" s="188"/>
      <c r="K151" s="21"/>
    </row>
    <row r="152" ht="13.5" customHeight="1">
      <c r="A152" s="188">
        <v>147.0</v>
      </c>
      <c r="B152" s="192">
        <v>45951.0</v>
      </c>
      <c r="C152" s="188">
        <v>1.0</v>
      </c>
      <c r="D152" s="188" t="s">
        <v>413</v>
      </c>
      <c r="E152" s="188">
        <v>2.0</v>
      </c>
      <c r="F152" s="190" t="s">
        <v>311</v>
      </c>
      <c r="G152" s="188" t="s">
        <v>430</v>
      </c>
      <c r="H152" s="192">
        <v>45951.0</v>
      </c>
      <c r="I152" s="188" t="s">
        <v>69</v>
      </c>
      <c r="J152" s="188"/>
      <c r="K152" s="21"/>
    </row>
    <row r="153" ht="13.5" customHeight="1">
      <c r="A153" s="188">
        <v>148.0</v>
      </c>
      <c r="B153" s="192">
        <v>45952.0</v>
      </c>
      <c r="C153" s="188">
        <v>2.0</v>
      </c>
      <c r="D153" s="188" t="s">
        <v>472</v>
      </c>
      <c r="E153" s="188">
        <v>1.0</v>
      </c>
      <c r="F153" s="190" t="s">
        <v>311</v>
      </c>
      <c r="G153" s="188" t="s">
        <v>430</v>
      </c>
      <c r="H153" s="192">
        <v>45952.0</v>
      </c>
      <c r="I153" s="188" t="s">
        <v>69</v>
      </c>
      <c r="J153" s="188"/>
      <c r="K153" s="21"/>
    </row>
    <row r="154" ht="13.5" customHeight="1">
      <c r="A154" s="188">
        <v>149.0</v>
      </c>
      <c r="B154" s="192">
        <v>45953.0</v>
      </c>
      <c r="C154" s="188">
        <v>127.0</v>
      </c>
      <c r="D154" s="188" t="s">
        <v>473</v>
      </c>
      <c r="E154" s="188">
        <v>2.0</v>
      </c>
      <c r="F154" s="190" t="s">
        <v>474</v>
      </c>
      <c r="G154" s="188" t="s">
        <v>475</v>
      </c>
      <c r="H154" s="192">
        <v>45953.0</v>
      </c>
      <c r="I154" s="188" t="s">
        <v>69</v>
      </c>
      <c r="J154" s="188"/>
      <c r="K154" s="21"/>
    </row>
    <row r="155" ht="13.5" customHeight="1">
      <c r="A155" s="188">
        <v>150.0</v>
      </c>
      <c r="B155" s="192">
        <v>45953.0</v>
      </c>
      <c r="C155" s="188">
        <v>132.0</v>
      </c>
      <c r="D155" s="188">
        <v>6.0</v>
      </c>
      <c r="E155" s="188">
        <v>2.0</v>
      </c>
      <c r="F155" s="188" t="s">
        <v>407</v>
      </c>
      <c r="G155" s="188" t="s">
        <v>476</v>
      </c>
      <c r="H155" s="192">
        <v>45953.0</v>
      </c>
      <c r="I155" s="188" t="s">
        <v>69</v>
      </c>
      <c r="J155" s="188"/>
      <c r="K155" s="21"/>
    </row>
    <row r="156" ht="13.5" customHeight="1">
      <c r="A156" s="188">
        <v>151.0</v>
      </c>
      <c r="B156" s="192">
        <v>45957.0</v>
      </c>
      <c r="C156" s="188">
        <v>77.0</v>
      </c>
      <c r="D156" s="188"/>
      <c r="E156" s="188"/>
      <c r="F156" s="190" t="s">
        <v>453</v>
      </c>
      <c r="G156" s="188" t="s">
        <v>470</v>
      </c>
      <c r="H156" s="192">
        <v>45960.0</v>
      </c>
      <c r="I156" s="188" t="s">
        <v>69</v>
      </c>
      <c r="J156" s="188"/>
      <c r="K156" s="21"/>
    </row>
    <row r="157" ht="13.5" customHeight="1">
      <c r="A157" s="188">
        <v>152.0</v>
      </c>
      <c r="B157" s="192">
        <v>45959.0</v>
      </c>
      <c r="C157" s="188">
        <v>121.0</v>
      </c>
      <c r="D157" s="188"/>
      <c r="E157" s="188"/>
      <c r="F157" s="190" t="s">
        <v>453</v>
      </c>
      <c r="G157" s="188" t="s">
        <v>470</v>
      </c>
      <c r="H157" s="192">
        <v>45965.0</v>
      </c>
      <c r="I157" s="188" t="s">
        <v>69</v>
      </c>
      <c r="J157" s="188"/>
      <c r="K157" s="21"/>
    </row>
    <row r="158" ht="13.5" customHeight="1">
      <c r="A158" s="188">
        <v>153.0</v>
      </c>
      <c r="B158" s="192">
        <v>45960.0</v>
      </c>
      <c r="C158" s="188">
        <v>92.0</v>
      </c>
      <c r="D158" s="188"/>
      <c r="E158" s="188"/>
      <c r="F158" s="190" t="s">
        <v>453</v>
      </c>
      <c r="G158" s="188" t="s">
        <v>470</v>
      </c>
      <c r="H158" s="192">
        <v>45965.0</v>
      </c>
      <c r="I158" s="188" t="s">
        <v>69</v>
      </c>
      <c r="J158" s="188"/>
      <c r="K158" s="21"/>
    </row>
    <row r="159" ht="13.5" customHeight="1">
      <c r="A159" s="188">
        <v>154.0</v>
      </c>
      <c r="B159" s="192">
        <v>45963.0</v>
      </c>
      <c r="C159" s="188">
        <v>126.0</v>
      </c>
      <c r="D159" s="188"/>
      <c r="E159" s="188"/>
      <c r="F159" s="188" t="s">
        <v>477</v>
      </c>
      <c r="G159" s="188" t="s">
        <v>475</v>
      </c>
      <c r="H159" s="192">
        <v>45963.0</v>
      </c>
      <c r="I159" s="188" t="s">
        <v>69</v>
      </c>
      <c r="J159" s="188"/>
      <c r="K159" s="21"/>
    </row>
    <row r="160" ht="13.5" customHeight="1">
      <c r="A160" s="188">
        <v>155.0</v>
      </c>
      <c r="B160" s="192">
        <v>45965.0</v>
      </c>
      <c r="C160" s="188">
        <v>51.0</v>
      </c>
      <c r="D160" s="188">
        <v>6.0</v>
      </c>
      <c r="E160" s="188">
        <v>2.0</v>
      </c>
      <c r="F160" s="190" t="s">
        <v>427</v>
      </c>
      <c r="G160" s="188" t="s">
        <v>430</v>
      </c>
      <c r="H160" s="192">
        <v>45965.0</v>
      </c>
      <c r="I160" s="188" t="s">
        <v>69</v>
      </c>
      <c r="J160" s="188"/>
      <c r="K160" s="21"/>
    </row>
    <row r="161" ht="13.5" customHeight="1">
      <c r="A161" s="188">
        <v>156.0</v>
      </c>
      <c r="B161" s="192">
        <v>45965.0</v>
      </c>
      <c r="C161" s="188">
        <v>126.0</v>
      </c>
      <c r="D161" s="188"/>
      <c r="E161" s="188"/>
      <c r="F161" s="190" t="s">
        <v>478</v>
      </c>
      <c r="G161" s="188" t="s">
        <v>479</v>
      </c>
      <c r="H161" s="192">
        <v>45967.0</v>
      </c>
      <c r="I161" s="188" t="s">
        <v>69</v>
      </c>
      <c r="J161" s="188"/>
      <c r="K161" s="21"/>
    </row>
    <row r="162" ht="13.5" customHeight="1">
      <c r="A162" s="188">
        <v>157.0</v>
      </c>
      <c r="B162" s="192">
        <v>45966.0</v>
      </c>
      <c r="C162" s="188">
        <v>48.0</v>
      </c>
      <c r="D162" s="188">
        <v>2.0</v>
      </c>
      <c r="E162" s="188">
        <v>1.0</v>
      </c>
      <c r="F162" s="188" t="s">
        <v>480</v>
      </c>
      <c r="G162" s="188" t="s">
        <v>475</v>
      </c>
      <c r="H162" s="192">
        <v>45966.0</v>
      </c>
      <c r="I162" s="188" t="s">
        <v>69</v>
      </c>
      <c r="J162" s="188"/>
      <c r="K162" s="21"/>
    </row>
    <row r="163" ht="13.5" customHeight="1">
      <c r="A163" s="188">
        <v>158.0</v>
      </c>
      <c r="B163" s="192">
        <v>45966.0</v>
      </c>
      <c r="C163" s="188">
        <v>48.0</v>
      </c>
      <c r="D163" s="188">
        <v>8.0</v>
      </c>
      <c r="E163" s="188">
        <v>2.0</v>
      </c>
      <c r="F163" s="188" t="s">
        <v>480</v>
      </c>
      <c r="G163" s="188" t="s">
        <v>475</v>
      </c>
      <c r="H163" s="192">
        <v>45966.0</v>
      </c>
      <c r="I163" s="188" t="s">
        <v>69</v>
      </c>
      <c r="J163" s="188"/>
      <c r="K163" s="21"/>
    </row>
    <row r="164" ht="13.5" customHeight="1">
      <c r="A164" s="188">
        <v>159.0</v>
      </c>
      <c r="B164" s="192">
        <v>45966.0</v>
      </c>
      <c r="C164" s="188">
        <v>71.0</v>
      </c>
      <c r="D164" s="188">
        <v>5.0</v>
      </c>
      <c r="E164" s="188">
        <v>2.0</v>
      </c>
      <c r="F164" s="188" t="s">
        <v>480</v>
      </c>
      <c r="G164" s="188" t="s">
        <v>475</v>
      </c>
      <c r="H164" s="192">
        <v>45966.0</v>
      </c>
      <c r="I164" s="188" t="s">
        <v>69</v>
      </c>
      <c r="J164" s="188"/>
      <c r="K164" s="21"/>
    </row>
    <row r="165" ht="13.5" customHeight="1">
      <c r="A165" s="188">
        <v>160.0</v>
      </c>
      <c r="B165" s="192">
        <v>45966.0</v>
      </c>
      <c r="C165" s="188">
        <v>49.0</v>
      </c>
      <c r="D165" s="188">
        <v>8.0</v>
      </c>
      <c r="E165" s="188">
        <v>2.0</v>
      </c>
      <c r="F165" s="188" t="s">
        <v>480</v>
      </c>
      <c r="G165" s="188" t="s">
        <v>475</v>
      </c>
      <c r="H165" s="192">
        <v>45966.0</v>
      </c>
      <c r="I165" s="188" t="s">
        <v>69</v>
      </c>
      <c r="J165" s="188"/>
      <c r="K165" s="21"/>
    </row>
    <row r="166" ht="13.5" customHeight="1">
      <c r="A166" s="188">
        <v>161.0</v>
      </c>
      <c r="B166" s="192">
        <v>45966.0</v>
      </c>
      <c r="C166" s="188">
        <v>61.0</v>
      </c>
      <c r="D166" s="188">
        <v>6.0</v>
      </c>
      <c r="E166" s="188">
        <v>1.0</v>
      </c>
      <c r="F166" s="188" t="s">
        <v>480</v>
      </c>
      <c r="G166" s="188" t="s">
        <v>475</v>
      </c>
      <c r="H166" s="192">
        <v>45966.0</v>
      </c>
      <c r="I166" s="188" t="s">
        <v>69</v>
      </c>
      <c r="J166" s="188"/>
      <c r="K166" s="21"/>
    </row>
    <row r="167" ht="13.5" customHeight="1">
      <c r="A167" s="188">
        <v>162.0</v>
      </c>
      <c r="B167" s="192">
        <v>45966.0</v>
      </c>
      <c r="C167" s="188">
        <v>61.0</v>
      </c>
      <c r="D167" s="188">
        <v>7.0</v>
      </c>
      <c r="E167" s="188">
        <v>2.0</v>
      </c>
      <c r="F167" s="188" t="s">
        <v>480</v>
      </c>
      <c r="G167" s="188" t="s">
        <v>475</v>
      </c>
      <c r="H167" s="192">
        <v>45966.0</v>
      </c>
      <c r="I167" s="188" t="s">
        <v>69</v>
      </c>
      <c r="J167" s="188"/>
      <c r="K167" s="21"/>
    </row>
    <row r="168" ht="13.5" customHeight="1">
      <c r="A168" s="188">
        <v>163.0</v>
      </c>
      <c r="B168" s="192">
        <v>45966.0</v>
      </c>
      <c r="C168" s="188">
        <v>109.0</v>
      </c>
      <c r="D168" s="188">
        <v>5.0</v>
      </c>
      <c r="E168" s="188">
        <v>2.0</v>
      </c>
      <c r="F168" s="188" t="s">
        <v>480</v>
      </c>
      <c r="G168" s="188" t="s">
        <v>475</v>
      </c>
      <c r="H168" s="192">
        <v>45966.0</v>
      </c>
      <c r="I168" s="188" t="s">
        <v>69</v>
      </c>
      <c r="J168" s="188"/>
      <c r="K168" s="21"/>
    </row>
    <row r="169" ht="13.5" customHeight="1">
      <c r="A169" s="188">
        <v>164.0</v>
      </c>
      <c r="B169" s="192">
        <v>45966.0</v>
      </c>
      <c r="C169" s="188">
        <v>92.0</v>
      </c>
      <c r="D169" s="188"/>
      <c r="E169" s="188"/>
      <c r="F169" s="188" t="s">
        <v>311</v>
      </c>
      <c r="G169" s="188" t="s">
        <v>475</v>
      </c>
      <c r="H169" s="192">
        <v>45966.0</v>
      </c>
      <c r="I169" s="188" t="s">
        <v>69</v>
      </c>
      <c r="J169" s="188"/>
      <c r="K169" s="21"/>
    </row>
    <row r="170" ht="13.5" customHeight="1">
      <c r="A170" s="188">
        <v>165.0</v>
      </c>
      <c r="B170" s="192">
        <v>45968.0</v>
      </c>
      <c r="C170" s="188">
        <v>131.0</v>
      </c>
      <c r="D170" s="188">
        <v>4.0</v>
      </c>
      <c r="E170" s="188">
        <v>1.0</v>
      </c>
      <c r="F170" s="188" t="s">
        <v>480</v>
      </c>
      <c r="G170" s="188" t="s">
        <v>475</v>
      </c>
      <c r="H170" s="192">
        <v>45968.0</v>
      </c>
      <c r="I170" s="188" t="s">
        <v>69</v>
      </c>
      <c r="J170" s="188"/>
      <c r="K170" s="21"/>
    </row>
    <row r="171" ht="13.5" customHeight="1">
      <c r="A171" s="188">
        <v>166.0</v>
      </c>
      <c r="B171" s="192">
        <v>45968.0</v>
      </c>
      <c r="C171" s="188">
        <v>112.0</v>
      </c>
      <c r="D171" s="188">
        <v>7.0</v>
      </c>
      <c r="E171" s="188">
        <v>2.0</v>
      </c>
      <c r="F171" s="188" t="s">
        <v>311</v>
      </c>
      <c r="G171" s="188" t="s">
        <v>475</v>
      </c>
      <c r="H171" s="192">
        <v>45968.0</v>
      </c>
      <c r="I171" s="188" t="s">
        <v>69</v>
      </c>
      <c r="J171" s="188"/>
      <c r="K171" s="21"/>
    </row>
    <row r="172" ht="13.5" customHeight="1">
      <c r="A172" s="188">
        <v>167.0</v>
      </c>
      <c r="B172" s="192">
        <v>45968.0</v>
      </c>
      <c r="C172" s="188">
        <v>99.0</v>
      </c>
      <c r="D172" s="188">
        <v>6.0</v>
      </c>
      <c r="E172" s="188">
        <v>2.0</v>
      </c>
      <c r="F172" s="188" t="s">
        <v>311</v>
      </c>
      <c r="G172" s="188" t="s">
        <v>475</v>
      </c>
      <c r="H172" s="192">
        <v>45968.0</v>
      </c>
      <c r="I172" s="188" t="s">
        <v>69</v>
      </c>
      <c r="J172" s="188"/>
      <c r="K172" s="21"/>
    </row>
    <row r="173" ht="13.5" customHeight="1">
      <c r="A173" s="188">
        <v>168.0</v>
      </c>
      <c r="B173" s="192">
        <v>45968.0</v>
      </c>
      <c r="C173" s="188">
        <v>74.0</v>
      </c>
      <c r="D173" s="188">
        <v>6.0</v>
      </c>
      <c r="E173" s="188">
        <v>2.0</v>
      </c>
      <c r="F173" s="188" t="s">
        <v>311</v>
      </c>
      <c r="G173" s="188" t="s">
        <v>475</v>
      </c>
      <c r="H173" s="192">
        <v>45968.0</v>
      </c>
      <c r="I173" s="188" t="s">
        <v>69</v>
      </c>
      <c r="J173" s="188"/>
      <c r="K173" s="21"/>
    </row>
    <row r="174" ht="13.5" customHeight="1">
      <c r="A174" s="188">
        <v>169.0</v>
      </c>
      <c r="B174" s="192">
        <v>45968.0</v>
      </c>
      <c r="C174" s="188">
        <v>94.0</v>
      </c>
      <c r="D174" s="188">
        <v>7.0</v>
      </c>
      <c r="E174" s="188">
        <v>2.0</v>
      </c>
      <c r="F174" s="188" t="s">
        <v>481</v>
      </c>
      <c r="G174" s="188" t="s">
        <v>475</v>
      </c>
      <c r="H174" s="192">
        <v>45968.0</v>
      </c>
      <c r="I174" s="188" t="s">
        <v>69</v>
      </c>
      <c r="J174" s="188"/>
      <c r="K174" s="21"/>
    </row>
    <row r="175" ht="13.5" customHeight="1">
      <c r="A175" s="188">
        <v>170.0</v>
      </c>
      <c r="B175" s="192">
        <v>45968.0</v>
      </c>
      <c r="C175" s="188">
        <v>108.0</v>
      </c>
      <c r="D175" s="188">
        <v>1.0</v>
      </c>
      <c r="E175" s="188">
        <v>1.0</v>
      </c>
      <c r="F175" s="188" t="s">
        <v>481</v>
      </c>
      <c r="G175" s="188" t="s">
        <v>475</v>
      </c>
      <c r="H175" s="192">
        <v>45968.0</v>
      </c>
      <c r="I175" s="188" t="s">
        <v>69</v>
      </c>
      <c r="J175" s="188"/>
      <c r="K175" s="21"/>
    </row>
    <row r="176" ht="13.5" customHeight="1">
      <c r="A176" s="188">
        <v>171.0</v>
      </c>
      <c r="B176" s="192">
        <v>45968.0</v>
      </c>
      <c r="C176" s="188">
        <v>123.0</v>
      </c>
      <c r="D176" s="188">
        <v>8.0</v>
      </c>
      <c r="E176" s="188">
        <v>2.0</v>
      </c>
      <c r="F176" s="188" t="s">
        <v>481</v>
      </c>
      <c r="G176" s="188" t="s">
        <v>475</v>
      </c>
      <c r="H176" s="192">
        <v>45968.0</v>
      </c>
      <c r="I176" s="188" t="s">
        <v>69</v>
      </c>
      <c r="J176" s="188"/>
      <c r="K176" s="21"/>
    </row>
    <row r="177" ht="13.5" customHeight="1">
      <c r="A177" s="188">
        <v>172.0</v>
      </c>
      <c r="B177" s="192">
        <v>45968.0</v>
      </c>
      <c r="C177" s="188">
        <v>70.0</v>
      </c>
      <c r="D177" s="188">
        <v>7.0</v>
      </c>
      <c r="E177" s="188">
        <v>2.0</v>
      </c>
      <c r="F177" s="188" t="s">
        <v>481</v>
      </c>
      <c r="G177" s="188" t="s">
        <v>475</v>
      </c>
      <c r="H177" s="192">
        <v>45968.0</v>
      </c>
      <c r="I177" s="188" t="s">
        <v>69</v>
      </c>
      <c r="J177" s="188"/>
      <c r="K177" s="21"/>
    </row>
    <row r="178" ht="13.5" customHeight="1">
      <c r="A178" s="188">
        <v>173.0</v>
      </c>
      <c r="B178" s="192">
        <v>45968.0</v>
      </c>
      <c r="C178" s="188">
        <v>94.0</v>
      </c>
      <c r="D178" s="188">
        <v>2.0</v>
      </c>
      <c r="E178" s="188">
        <v>1.0</v>
      </c>
      <c r="F178" s="188" t="s">
        <v>481</v>
      </c>
      <c r="G178" s="188" t="s">
        <v>475</v>
      </c>
      <c r="H178" s="192">
        <v>45968.0</v>
      </c>
      <c r="I178" s="188" t="s">
        <v>69</v>
      </c>
      <c r="J178" s="188"/>
      <c r="K178" s="21"/>
    </row>
    <row r="179" ht="13.5" customHeight="1">
      <c r="A179" s="188">
        <v>174.0</v>
      </c>
      <c r="B179" s="192">
        <v>45968.0</v>
      </c>
      <c r="C179" s="188">
        <v>23.0</v>
      </c>
      <c r="D179" s="188">
        <v>8.0</v>
      </c>
      <c r="E179" s="188">
        <v>2.0</v>
      </c>
      <c r="F179" s="188" t="s">
        <v>481</v>
      </c>
      <c r="G179" s="188" t="s">
        <v>475</v>
      </c>
      <c r="H179" s="192">
        <v>45968.0</v>
      </c>
      <c r="I179" s="188" t="s">
        <v>69</v>
      </c>
      <c r="J179" s="188"/>
      <c r="K179" s="21"/>
    </row>
    <row r="180" ht="13.5" customHeight="1">
      <c r="A180" s="188">
        <v>175.0</v>
      </c>
      <c r="B180" s="192">
        <v>45968.0</v>
      </c>
      <c r="C180" s="188">
        <v>33.0</v>
      </c>
      <c r="D180" s="188">
        <v>3.0</v>
      </c>
      <c r="E180" s="188">
        <v>1.0</v>
      </c>
      <c r="F180" s="188" t="s">
        <v>481</v>
      </c>
      <c r="G180" s="188" t="s">
        <v>475</v>
      </c>
      <c r="H180" s="192">
        <v>45968.0</v>
      </c>
      <c r="I180" s="188" t="s">
        <v>69</v>
      </c>
      <c r="J180" s="188"/>
      <c r="K180" s="21"/>
    </row>
    <row r="181" ht="13.5" customHeight="1">
      <c r="A181" s="188">
        <v>176.0</v>
      </c>
      <c r="B181" s="192">
        <v>45968.0</v>
      </c>
      <c r="C181" s="188">
        <v>18.0</v>
      </c>
      <c r="D181" s="188">
        <v>6.0</v>
      </c>
      <c r="E181" s="188">
        <v>2.0</v>
      </c>
      <c r="F181" s="188" t="s">
        <v>481</v>
      </c>
      <c r="G181" s="188" t="s">
        <v>475</v>
      </c>
      <c r="H181" s="192">
        <v>45968.0</v>
      </c>
      <c r="I181" s="188" t="s">
        <v>69</v>
      </c>
      <c r="J181" s="188"/>
      <c r="K181" s="21"/>
    </row>
    <row r="182" ht="13.5" customHeight="1">
      <c r="A182" s="188">
        <v>177.0</v>
      </c>
      <c r="B182" s="192">
        <v>45968.0</v>
      </c>
      <c r="C182" s="188">
        <v>54.0</v>
      </c>
      <c r="D182" s="188"/>
      <c r="E182" s="188"/>
      <c r="F182" s="188" t="s">
        <v>453</v>
      </c>
      <c r="G182" s="188"/>
      <c r="H182" s="192">
        <v>45969.0</v>
      </c>
      <c r="I182" s="188" t="s">
        <v>69</v>
      </c>
      <c r="J182" s="188"/>
      <c r="K182" s="21"/>
    </row>
    <row r="183" ht="13.5" customHeight="1">
      <c r="A183" s="188">
        <v>178.0</v>
      </c>
      <c r="B183" s="192">
        <v>45970.0</v>
      </c>
      <c r="C183" s="188">
        <v>8.0</v>
      </c>
      <c r="D183" s="188">
        <v>3.0</v>
      </c>
      <c r="E183" s="188">
        <v>1.0</v>
      </c>
      <c r="F183" s="188" t="s">
        <v>482</v>
      </c>
      <c r="G183" s="188" t="s">
        <v>475</v>
      </c>
      <c r="H183" s="192">
        <v>45970.0</v>
      </c>
      <c r="I183" s="188" t="s">
        <v>69</v>
      </c>
      <c r="J183" s="188"/>
      <c r="K183" s="21"/>
    </row>
    <row r="184" ht="13.5" customHeight="1">
      <c r="A184" s="188">
        <v>179.0</v>
      </c>
      <c r="B184" s="192">
        <v>45970.0</v>
      </c>
      <c r="C184" s="188">
        <v>15.0</v>
      </c>
      <c r="D184" s="188">
        <v>1.0</v>
      </c>
      <c r="E184" s="188">
        <v>6.0</v>
      </c>
      <c r="F184" s="188" t="s">
        <v>427</v>
      </c>
      <c r="G184" s="188" t="s">
        <v>483</v>
      </c>
      <c r="H184" s="192">
        <v>45970.0</v>
      </c>
      <c r="I184" s="188" t="s">
        <v>69</v>
      </c>
      <c r="J184" s="188"/>
      <c r="K184" s="21"/>
    </row>
    <row r="185" ht="13.5" customHeight="1">
      <c r="A185" s="188">
        <v>180.0</v>
      </c>
      <c r="B185" s="192">
        <v>45970.0</v>
      </c>
      <c r="C185" s="188">
        <v>129.0</v>
      </c>
      <c r="D185" s="188">
        <v>1.0</v>
      </c>
      <c r="E185" s="188">
        <v>6.0</v>
      </c>
      <c r="F185" s="188" t="s">
        <v>482</v>
      </c>
      <c r="G185" s="188" t="s">
        <v>475</v>
      </c>
      <c r="H185" s="192">
        <v>45970.0</v>
      </c>
      <c r="I185" s="188" t="s">
        <v>69</v>
      </c>
      <c r="J185" s="188"/>
      <c r="K185" s="21"/>
    </row>
    <row r="186" ht="13.5" customHeight="1">
      <c r="A186" s="188">
        <v>181.0</v>
      </c>
      <c r="B186" s="192">
        <v>45971.0</v>
      </c>
      <c r="C186" s="188">
        <v>15.0</v>
      </c>
      <c r="D186" s="188">
        <v>1.0</v>
      </c>
      <c r="E186" s="188">
        <v>1.0</v>
      </c>
      <c r="F186" s="188" t="s">
        <v>427</v>
      </c>
      <c r="G186" s="188" t="s">
        <v>483</v>
      </c>
      <c r="H186" s="192">
        <v>45971.0</v>
      </c>
      <c r="I186" s="188" t="s">
        <v>69</v>
      </c>
      <c r="J186" s="188"/>
      <c r="K186" s="21"/>
    </row>
    <row r="187" ht="13.5" customHeight="1">
      <c r="A187" s="188">
        <v>182.0</v>
      </c>
      <c r="B187" s="192">
        <v>45971.0</v>
      </c>
      <c r="C187" s="188">
        <v>54.0</v>
      </c>
      <c r="D187" s="188">
        <v>7.0</v>
      </c>
      <c r="E187" s="188">
        <v>2.0</v>
      </c>
      <c r="F187" s="188" t="s">
        <v>427</v>
      </c>
      <c r="G187" s="188" t="s">
        <v>483</v>
      </c>
      <c r="H187" s="192">
        <v>45971.0</v>
      </c>
      <c r="I187" s="188" t="s">
        <v>69</v>
      </c>
      <c r="J187" s="188"/>
      <c r="K187" s="21"/>
    </row>
    <row r="188" ht="13.5" customHeight="1">
      <c r="A188" s="188">
        <v>183.0</v>
      </c>
      <c r="B188" s="192">
        <v>45971.0</v>
      </c>
      <c r="C188" s="188">
        <v>108.0</v>
      </c>
      <c r="D188" s="188">
        <v>7.0</v>
      </c>
      <c r="E188" s="188">
        <v>2.0</v>
      </c>
      <c r="F188" s="188" t="s">
        <v>480</v>
      </c>
      <c r="G188" s="188" t="s">
        <v>475</v>
      </c>
      <c r="H188" s="192">
        <v>45971.0</v>
      </c>
      <c r="I188" s="188" t="s">
        <v>69</v>
      </c>
      <c r="J188" s="188"/>
      <c r="K188" s="21"/>
    </row>
    <row r="189" ht="13.5" customHeight="1">
      <c r="A189" s="188">
        <v>184.0</v>
      </c>
      <c r="B189" s="192">
        <v>45971.0</v>
      </c>
      <c r="C189" s="188">
        <v>108.0</v>
      </c>
      <c r="D189" s="188" t="s">
        <v>426</v>
      </c>
      <c r="E189" s="188">
        <v>1.0</v>
      </c>
      <c r="F189" s="188" t="s">
        <v>480</v>
      </c>
      <c r="G189" s="188" t="s">
        <v>475</v>
      </c>
      <c r="H189" s="192">
        <v>45971.0</v>
      </c>
      <c r="I189" s="188" t="s">
        <v>69</v>
      </c>
      <c r="J189" s="188"/>
      <c r="K189" s="21"/>
    </row>
    <row r="190" ht="13.5" customHeight="1">
      <c r="A190" s="188">
        <v>185.0</v>
      </c>
      <c r="B190" s="192">
        <v>45973.0</v>
      </c>
      <c r="C190" s="188">
        <v>78.0</v>
      </c>
      <c r="D190" s="188">
        <v>6.0</v>
      </c>
      <c r="E190" s="188">
        <v>2.0</v>
      </c>
      <c r="F190" s="188" t="s">
        <v>427</v>
      </c>
      <c r="G190" s="188" t="s">
        <v>483</v>
      </c>
      <c r="H190" s="192">
        <v>45973.0</v>
      </c>
      <c r="I190" s="188" t="s">
        <v>69</v>
      </c>
      <c r="J190" s="188"/>
      <c r="K190" s="21"/>
    </row>
    <row r="191" ht="13.5" customHeight="1">
      <c r="A191" s="188">
        <v>186.0</v>
      </c>
      <c r="B191" s="192">
        <v>45973.0</v>
      </c>
      <c r="C191" s="188">
        <v>104.0</v>
      </c>
      <c r="D191" s="188">
        <v>4.0</v>
      </c>
      <c r="E191" s="188">
        <v>1.0</v>
      </c>
      <c r="F191" s="188" t="s">
        <v>427</v>
      </c>
      <c r="G191" s="188" t="s">
        <v>483</v>
      </c>
      <c r="H191" s="192">
        <v>45973.0</v>
      </c>
      <c r="I191" s="188" t="s">
        <v>69</v>
      </c>
      <c r="J191" s="188"/>
      <c r="K191" s="21"/>
    </row>
    <row r="192" ht="13.5" customHeight="1">
      <c r="A192" s="188">
        <v>187.0</v>
      </c>
      <c r="B192" s="192">
        <v>45975.0</v>
      </c>
      <c r="C192" s="188">
        <v>15.0</v>
      </c>
      <c r="D192" s="188">
        <v>1.0</v>
      </c>
      <c r="E192" s="188">
        <v>1.0</v>
      </c>
      <c r="F192" s="188" t="s">
        <v>464</v>
      </c>
      <c r="G192" s="188" t="s">
        <v>483</v>
      </c>
      <c r="H192" s="192">
        <v>45975.0</v>
      </c>
      <c r="I192" s="188" t="s">
        <v>69</v>
      </c>
      <c r="J192" s="188"/>
      <c r="K192" s="21"/>
    </row>
    <row r="193" ht="13.5" customHeight="1">
      <c r="A193" s="188">
        <v>188.0</v>
      </c>
      <c r="B193" s="192">
        <v>45975.0</v>
      </c>
      <c r="C193" s="188">
        <v>67.0</v>
      </c>
      <c r="D193" s="188">
        <v>6.0</v>
      </c>
      <c r="E193" s="188">
        <v>2.0</v>
      </c>
      <c r="F193" s="188" t="s">
        <v>464</v>
      </c>
      <c r="G193" s="188" t="s">
        <v>483</v>
      </c>
      <c r="H193" s="192">
        <v>45975.0</v>
      </c>
      <c r="I193" s="188" t="s">
        <v>69</v>
      </c>
      <c r="J193" s="188"/>
      <c r="K193" s="21"/>
    </row>
    <row r="194" ht="13.5" customHeight="1">
      <c r="A194" s="188">
        <v>189.0</v>
      </c>
      <c r="B194" s="192">
        <v>45975.0</v>
      </c>
      <c r="C194" s="188">
        <v>67.0</v>
      </c>
      <c r="D194" s="188">
        <v>8.0</v>
      </c>
      <c r="E194" s="188">
        <v>2.0</v>
      </c>
      <c r="F194" s="188" t="s">
        <v>464</v>
      </c>
      <c r="G194" s="188" t="s">
        <v>483</v>
      </c>
      <c r="H194" s="192">
        <v>45975.0</v>
      </c>
      <c r="I194" s="188" t="s">
        <v>69</v>
      </c>
      <c r="J194" s="188"/>
      <c r="K194" s="21"/>
    </row>
    <row r="195" ht="13.5" customHeight="1">
      <c r="A195" s="188">
        <v>190.0</v>
      </c>
      <c r="B195" s="192">
        <v>45975.0</v>
      </c>
      <c r="C195" s="188">
        <v>90.0</v>
      </c>
      <c r="D195" s="188">
        <v>1.0</v>
      </c>
      <c r="E195" s="188">
        <v>1.0</v>
      </c>
      <c r="F195" s="188" t="s">
        <v>464</v>
      </c>
      <c r="G195" s="188" t="s">
        <v>483</v>
      </c>
      <c r="H195" s="192">
        <v>45975.0</v>
      </c>
      <c r="I195" s="188" t="s">
        <v>69</v>
      </c>
      <c r="J195" s="188"/>
      <c r="K195" s="21"/>
    </row>
    <row r="196" ht="13.5" customHeight="1">
      <c r="A196" s="188">
        <v>191.0</v>
      </c>
      <c r="B196" s="192">
        <v>45975.0</v>
      </c>
      <c r="C196" s="188">
        <v>90.0</v>
      </c>
      <c r="D196" s="188">
        <v>4.0</v>
      </c>
      <c r="E196" s="188">
        <v>1.0</v>
      </c>
      <c r="F196" s="188" t="s">
        <v>464</v>
      </c>
      <c r="G196" s="188" t="s">
        <v>483</v>
      </c>
      <c r="H196" s="192">
        <v>45975.0</v>
      </c>
      <c r="I196" s="188" t="s">
        <v>69</v>
      </c>
      <c r="J196" s="188"/>
      <c r="K196" s="21"/>
    </row>
    <row r="197" ht="13.5" customHeight="1">
      <c r="A197" s="188">
        <v>192.0</v>
      </c>
      <c r="B197" s="192">
        <v>45975.0</v>
      </c>
      <c r="C197" s="188">
        <v>90.0</v>
      </c>
      <c r="D197" s="188">
        <v>5.0</v>
      </c>
      <c r="E197" s="188">
        <v>2.0</v>
      </c>
      <c r="F197" s="188" t="s">
        <v>464</v>
      </c>
      <c r="G197" s="188" t="s">
        <v>483</v>
      </c>
      <c r="H197" s="192">
        <v>45975.0</v>
      </c>
      <c r="I197" s="188" t="s">
        <v>69</v>
      </c>
      <c r="J197" s="188"/>
      <c r="K197" s="21"/>
    </row>
    <row r="198" ht="13.5" customHeight="1">
      <c r="A198" s="188">
        <v>193.0</v>
      </c>
      <c r="B198" s="192">
        <v>45975.0</v>
      </c>
      <c r="C198" s="188">
        <v>90.0</v>
      </c>
      <c r="D198" s="188">
        <v>8.0</v>
      </c>
      <c r="E198" s="188">
        <v>2.0</v>
      </c>
      <c r="F198" s="188" t="s">
        <v>464</v>
      </c>
      <c r="G198" s="188" t="s">
        <v>483</v>
      </c>
      <c r="H198" s="192">
        <v>45975.0</v>
      </c>
      <c r="I198" s="188" t="s">
        <v>69</v>
      </c>
      <c r="J198" s="188"/>
      <c r="K198" s="21"/>
    </row>
    <row r="199" ht="13.5" customHeight="1">
      <c r="A199" s="188">
        <v>194.0</v>
      </c>
      <c r="B199" s="192">
        <v>45976.0</v>
      </c>
      <c r="C199" s="188">
        <v>19.0</v>
      </c>
      <c r="D199" s="188">
        <v>5.0</v>
      </c>
      <c r="E199" s="188">
        <v>2.0</v>
      </c>
      <c r="F199" s="188" t="s">
        <v>484</v>
      </c>
      <c r="G199" s="188" t="s">
        <v>485</v>
      </c>
      <c r="H199" s="192">
        <v>45978.0</v>
      </c>
      <c r="I199" s="188" t="s">
        <v>69</v>
      </c>
      <c r="J199" s="188"/>
      <c r="K199" s="21"/>
    </row>
    <row r="200" ht="13.5" customHeight="1">
      <c r="A200" s="188">
        <v>195.0</v>
      </c>
      <c r="B200" s="192">
        <v>45976.0</v>
      </c>
      <c r="C200" s="188">
        <v>28.0</v>
      </c>
      <c r="D200" s="188">
        <v>4.0</v>
      </c>
      <c r="E200" s="188">
        <v>1.0</v>
      </c>
      <c r="F200" s="188" t="s">
        <v>484</v>
      </c>
      <c r="G200" s="188" t="s">
        <v>486</v>
      </c>
      <c r="H200" s="192">
        <v>45978.0</v>
      </c>
      <c r="I200" s="188" t="s">
        <v>69</v>
      </c>
      <c r="J200" s="188"/>
      <c r="K200" s="21"/>
    </row>
    <row r="201" ht="13.5" customHeight="1">
      <c r="A201" s="188">
        <v>196.0</v>
      </c>
      <c r="B201" s="192">
        <v>45976.0</v>
      </c>
      <c r="C201" s="188">
        <v>125.0</v>
      </c>
      <c r="D201" s="188">
        <v>6.0</v>
      </c>
      <c r="E201" s="188">
        <v>2.0</v>
      </c>
      <c r="F201" s="188" t="s">
        <v>484</v>
      </c>
      <c r="G201" s="188" t="s">
        <v>487</v>
      </c>
      <c r="H201" s="192">
        <v>45978.0</v>
      </c>
      <c r="I201" s="188" t="s">
        <v>69</v>
      </c>
      <c r="J201" s="188"/>
      <c r="K201" s="21"/>
    </row>
    <row r="202" ht="13.5" customHeight="1">
      <c r="A202" s="188">
        <v>197.0</v>
      </c>
      <c r="B202" s="192">
        <v>45976.0</v>
      </c>
      <c r="C202" s="188">
        <v>92.0</v>
      </c>
      <c r="D202" s="188">
        <v>6.0</v>
      </c>
      <c r="E202" s="188">
        <v>2.0</v>
      </c>
      <c r="F202" s="188" t="s">
        <v>480</v>
      </c>
      <c r="G202" s="188" t="s">
        <v>483</v>
      </c>
      <c r="H202" s="192">
        <v>45976.0</v>
      </c>
      <c r="I202" s="188" t="s">
        <v>69</v>
      </c>
      <c r="J202" s="188"/>
      <c r="K202" s="21"/>
    </row>
    <row r="203" ht="13.5" customHeight="1">
      <c r="A203" s="188">
        <v>198.0</v>
      </c>
      <c r="B203" s="192">
        <v>45976.0</v>
      </c>
      <c r="C203" s="188">
        <v>73.0</v>
      </c>
      <c r="D203" s="188"/>
      <c r="E203" s="188">
        <v>2.0</v>
      </c>
      <c r="F203" s="188" t="s">
        <v>480</v>
      </c>
      <c r="G203" s="188" t="s">
        <v>483</v>
      </c>
      <c r="H203" s="192">
        <v>45976.0</v>
      </c>
      <c r="I203" s="188" t="s">
        <v>69</v>
      </c>
      <c r="J203" s="188"/>
      <c r="K203" s="21"/>
    </row>
    <row r="204" ht="13.5" customHeight="1">
      <c r="A204" s="188">
        <v>199.0</v>
      </c>
      <c r="B204" s="192">
        <v>45976.0</v>
      </c>
      <c r="C204" s="188">
        <v>41.0</v>
      </c>
      <c r="D204" s="188"/>
      <c r="E204" s="188">
        <v>1.0</v>
      </c>
      <c r="F204" s="188" t="s">
        <v>480</v>
      </c>
      <c r="G204" s="188" t="s">
        <v>483</v>
      </c>
      <c r="H204" s="192">
        <v>45976.0</v>
      </c>
      <c r="I204" s="188" t="s">
        <v>69</v>
      </c>
      <c r="J204" s="188"/>
      <c r="K204" s="21"/>
    </row>
    <row r="205" ht="13.5" customHeight="1">
      <c r="A205" s="188">
        <v>200.0</v>
      </c>
      <c r="B205" s="192">
        <v>45976.0</v>
      </c>
      <c r="C205" s="188">
        <v>105.0</v>
      </c>
      <c r="D205" s="188">
        <v>7.0</v>
      </c>
      <c r="E205" s="188">
        <v>2.0</v>
      </c>
      <c r="F205" s="188" t="s">
        <v>440</v>
      </c>
      <c r="G205" s="188" t="s">
        <v>483</v>
      </c>
      <c r="H205" s="192">
        <v>45976.0</v>
      </c>
      <c r="I205" s="188" t="s">
        <v>69</v>
      </c>
      <c r="J205" s="188"/>
      <c r="K205" s="21"/>
    </row>
    <row r="206" ht="13.5" customHeight="1">
      <c r="A206" s="188">
        <v>201.0</v>
      </c>
      <c r="B206" s="192">
        <v>45978.0</v>
      </c>
      <c r="C206" s="188">
        <v>8.0</v>
      </c>
      <c r="D206" s="188">
        <v>6.0</v>
      </c>
      <c r="E206" s="188">
        <v>2.0</v>
      </c>
      <c r="F206" s="188" t="s">
        <v>484</v>
      </c>
      <c r="G206" s="188" t="s">
        <v>487</v>
      </c>
      <c r="H206" s="192">
        <v>45978.0</v>
      </c>
      <c r="I206" s="188" t="s">
        <v>69</v>
      </c>
      <c r="J206" s="188"/>
      <c r="K206" s="21"/>
    </row>
    <row r="207" ht="13.5" customHeight="1">
      <c r="A207" s="188">
        <v>202.0</v>
      </c>
      <c r="B207" s="192">
        <v>45979.0</v>
      </c>
      <c r="C207" s="188">
        <v>130.0</v>
      </c>
      <c r="D207" s="188" t="s">
        <v>42</v>
      </c>
      <c r="E207" s="188" t="s">
        <v>488</v>
      </c>
      <c r="F207" s="188" t="s">
        <v>489</v>
      </c>
      <c r="G207" s="188" t="s">
        <v>490</v>
      </c>
      <c r="H207" s="192">
        <v>45979.0</v>
      </c>
      <c r="I207" s="188" t="s">
        <v>69</v>
      </c>
      <c r="J207" s="188"/>
      <c r="K207" s="21"/>
    </row>
    <row r="208" ht="13.5" customHeight="1">
      <c r="A208" s="188">
        <v>203.0</v>
      </c>
      <c r="B208" s="192">
        <v>45979.0</v>
      </c>
      <c r="C208" s="188">
        <v>105.0</v>
      </c>
      <c r="D208" s="188">
        <v>7.0</v>
      </c>
      <c r="E208" s="188">
        <v>2.0</v>
      </c>
      <c r="F208" s="188" t="s">
        <v>432</v>
      </c>
      <c r="G208" s="188" t="s">
        <v>491</v>
      </c>
      <c r="H208" s="192">
        <v>45979.0</v>
      </c>
      <c r="I208" s="188" t="s">
        <v>69</v>
      </c>
      <c r="J208" s="188"/>
      <c r="K208" s="21"/>
    </row>
    <row r="209" ht="13.5" customHeight="1">
      <c r="A209" s="188">
        <v>204.0</v>
      </c>
      <c r="B209" s="192">
        <v>45979.0</v>
      </c>
      <c r="C209" s="188">
        <v>97.0</v>
      </c>
      <c r="D209" s="188"/>
      <c r="E209" s="188"/>
      <c r="F209" s="188" t="s">
        <v>492</v>
      </c>
      <c r="G209" s="188" t="s">
        <v>493</v>
      </c>
      <c r="H209" s="192">
        <v>45980.0</v>
      </c>
      <c r="I209" s="188" t="s">
        <v>69</v>
      </c>
      <c r="J209" s="188"/>
      <c r="K209" s="21"/>
    </row>
    <row r="210" ht="13.5" customHeight="1">
      <c r="A210" s="188">
        <v>205.0</v>
      </c>
      <c r="B210" s="192">
        <v>45980.0</v>
      </c>
      <c r="C210" s="188">
        <v>128.0</v>
      </c>
      <c r="D210" s="188">
        <v>2.0</v>
      </c>
      <c r="E210" s="188">
        <v>1.0</v>
      </c>
      <c r="F210" s="188" t="s">
        <v>432</v>
      </c>
      <c r="G210" s="188" t="s">
        <v>491</v>
      </c>
      <c r="H210" s="192">
        <v>45980.0</v>
      </c>
      <c r="I210" s="188" t="s">
        <v>69</v>
      </c>
      <c r="J210" s="188"/>
      <c r="K210" s="21"/>
    </row>
    <row r="211" ht="13.5" customHeight="1">
      <c r="A211" s="188">
        <v>206.0</v>
      </c>
      <c r="B211" s="192">
        <v>45981.0</v>
      </c>
      <c r="C211" s="188">
        <v>4.0</v>
      </c>
      <c r="D211" s="188">
        <v>2.0</v>
      </c>
      <c r="E211" s="188">
        <v>1.0</v>
      </c>
      <c r="F211" s="188" t="s">
        <v>432</v>
      </c>
      <c r="G211" s="188" t="s">
        <v>491</v>
      </c>
      <c r="H211" s="192">
        <v>45981.0</v>
      </c>
      <c r="I211" s="188" t="s">
        <v>69</v>
      </c>
      <c r="J211" s="188"/>
      <c r="K211" s="21"/>
    </row>
    <row r="212" ht="13.5" customHeight="1">
      <c r="A212" s="188">
        <v>207.0</v>
      </c>
      <c r="B212" s="192">
        <v>45981.0</v>
      </c>
      <c r="C212" s="188">
        <v>113.0</v>
      </c>
      <c r="D212" s="188">
        <v>2.0</v>
      </c>
      <c r="E212" s="188">
        <v>1.0</v>
      </c>
      <c r="F212" s="188" t="s">
        <v>432</v>
      </c>
      <c r="G212" s="188" t="s">
        <v>491</v>
      </c>
      <c r="H212" s="192">
        <v>45981.0</v>
      </c>
      <c r="I212" s="188" t="s">
        <v>69</v>
      </c>
      <c r="J212" s="188"/>
      <c r="K212" s="21"/>
    </row>
    <row r="213" ht="13.5" customHeight="1">
      <c r="A213" s="188">
        <v>208.0</v>
      </c>
      <c r="B213" s="192">
        <v>45981.0</v>
      </c>
      <c r="C213" s="188">
        <v>11.0</v>
      </c>
      <c r="D213" s="188">
        <v>7.0</v>
      </c>
      <c r="E213" s="188">
        <v>2.0</v>
      </c>
      <c r="F213" s="188" t="s">
        <v>432</v>
      </c>
      <c r="G213" s="188" t="s">
        <v>491</v>
      </c>
      <c r="H213" s="192">
        <v>45981.0</v>
      </c>
      <c r="I213" s="188" t="s">
        <v>69</v>
      </c>
      <c r="J213" s="188"/>
      <c r="K213" s="21"/>
    </row>
    <row r="214" ht="13.5" customHeight="1">
      <c r="A214" s="188">
        <v>209.0</v>
      </c>
      <c r="B214" s="192">
        <v>45982.0</v>
      </c>
      <c r="C214" s="188">
        <v>117.0</v>
      </c>
      <c r="D214" s="188">
        <v>3.0</v>
      </c>
      <c r="E214" s="188">
        <v>1.0</v>
      </c>
      <c r="F214" s="188" t="s">
        <v>480</v>
      </c>
      <c r="G214" s="188" t="s">
        <v>491</v>
      </c>
      <c r="H214" s="192">
        <v>45982.0</v>
      </c>
      <c r="I214" s="188" t="s">
        <v>69</v>
      </c>
      <c r="J214" s="188"/>
      <c r="K214" s="21"/>
    </row>
    <row r="215" ht="13.5" customHeight="1">
      <c r="A215" s="188">
        <v>210.0</v>
      </c>
      <c r="B215" s="192">
        <v>45982.0</v>
      </c>
      <c r="C215" s="188">
        <v>30.0</v>
      </c>
      <c r="D215" s="188">
        <v>1.0</v>
      </c>
      <c r="E215" s="188">
        <v>1.0</v>
      </c>
      <c r="F215" s="188" t="s">
        <v>432</v>
      </c>
      <c r="G215" s="188" t="s">
        <v>491</v>
      </c>
      <c r="H215" s="192">
        <v>45982.0</v>
      </c>
      <c r="I215" s="188" t="s">
        <v>69</v>
      </c>
      <c r="J215" s="188"/>
      <c r="K215" s="21"/>
    </row>
    <row r="216" ht="13.5" customHeight="1">
      <c r="A216" s="188">
        <v>211.0</v>
      </c>
      <c r="B216" s="192">
        <v>45982.0</v>
      </c>
      <c r="C216" s="188">
        <v>43.0</v>
      </c>
      <c r="D216" s="188">
        <v>1.0</v>
      </c>
      <c r="E216" s="188">
        <v>1.0</v>
      </c>
      <c r="F216" s="188" t="s">
        <v>432</v>
      </c>
      <c r="G216" s="188" t="s">
        <v>491</v>
      </c>
      <c r="H216" s="192">
        <v>45982.0</v>
      </c>
      <c r="I216" s="188" t="s">
        <v>69</v>
      </c>
      <c r="J216" s="188"/>
      <c r="K216" s="21"/>
    </row>
    <row r="217" ht="13.5" customHeight="1">
      <c r="A217" s="188">
        <v>212.0</v>
      </c>
      <c r="B217" s="192">
        <v>45982.0</v>
      </c>
      <c r="C217" s="188">
        <v>55.0</v>
      </c>
      <c r="D217" s="188"/>
      <c r="E217" s="188"/>
      <c r="F217" s="188" t="s">
        <v>494</v>
      </c>
      <c r="G217" s="188" t="s">
        <v>495</v>
      </c>
      <c r="H217" s="192">
        <v>45982.0</v>
      </c>
      <c r="I217" s="188" t="s">
        <v>69</v>
      </c>
      <c r="J217" s="188"/>
      <c r="K217" s="21"/>
    </row>
    <row r="218" ht="13.5" customHeight="1">
      <c r="A218" s="188">
        <v>213.0</v>
      </c>
      <c r="B218" s="192">
        <v>45982.0</v>
      </c>
      <c r="C218" s="188">
        <v>56.0</v>
      </c>
      <c r="D218" s="188"/>
      <c r="E218" s="188"/>
      <c r="F218" s="188" t="s">
        <v>494</v>
      </c>
      <c r="G218" s="188" t="s">
        <v>495</v>
      </c>
      <c r="H218" s="192">
        <v>45982.0</v>
      </c>
      <c r="I218" s="188" t="s">
        <v>69</v>
      </c>
      <c r="J218" s="188"/>
      <c r="K218" s="21"/>
    </row>
    <row r="219" ht="13.5" customHeight="1">
      <c r="A219" s="188">
        <v>214.0</v>
      </c>
      <c r="B219" s="192">
        <v>45983.0</v>
      </c>
      <c r="C219" s="188">
        <v>3.0</v>
      </c>
      <c r="D219" s="188"/>
      <c r="E219" s="188"/>
      <c r="F219" s="188" t="s">
        <v>432</v>
      </c>
      <c r="G219" s="188" t="s">
        <v>491</v>
      </c>
      <c r="H219" s="192">
        <v>45983.0</v>
      </c>
      <c r="I219" s="188" t="s">
        <v>69</v>
      </c>
      <c r="J219" s="188"/>
      <c r="K219" s="21"/>
    </row>
    <row r="220" ht="13.5" customHeight="1">
      <c r="A220" s="188">
        <v>215.0</v>
      </c>
      <c r="B220" s="192">
        <v>45983.0</v>
      </c>
      <c r="C220" s="188">
        <v>52.0</v>
      </c>
      <c r="D220" s="188"/>
      <c r="E220" s="188"/>
      <c r="F220" s="188" t="s">
        <v>432</v>
      </c>
      <c r="G220" s="188" t="s">
        <v>491</v>
      </c>
      <c r="H220" s="192">
        <v>45983.0</v>
      </c>
      <c r="I220" s="188" t="s">
        <v>69</v>
      </c>
      <c r="J220" s="188"/>
      <c r="K220" s="21"/>
    </row>
    <row r="221" ht="13.5" customHeight="1">
      <c r="A221" s="188">
        <v>216.0</v>
      </c>
      <c r="B221" s="192">
        <v>45983.0</v>
      </c>
      <c r="C221" s="188">
        <v>11.0</v>
      </c>
      <c r="D221" s="188">
        <v>7.0</v>
      </c>
      <c r="E221" s="188">
        <v>2.0</v>
      </c>
      <c r="F221" s="188" t="s">
        <v>432</v>
      </c>
      <c r="G221" s="188" t="s">
        <v>491</v>
      </c>
      <c r="H221" s="192">
        <v>45983.0</v>
      </c>
      <c r="I221" s="188" t="s">
        <v>69</v>
      </c>
      <c r="J221" s="188"/>
      <c r="K221" s="21"/>
    </row>
    <row r="222" ht="13.5" customHeight="1">
      <c r="A222" s="188">
        <v>217.0</v>
      </c>
      <c r="B222" s="192">
        <v>45984.0</v>
      </c>
      <c r="C222" s="188">
        <v>59.0</v>
      </c>
      <c r="D222" s="188">
        <v>2.0</v>
      </c>
      <c r="E222" s="188">
        <v>1.0</v>
      </c>
      <c r="F222" s="188" t="s">
        <v>311</v>
      </c>
      <c r="G222" s="188" t="s">
        <v>491</v>
      </c>
      <c r="H222" s="192">
        <v>45984.0</v>
      </c>
      <c r="I222" s="188" t="s">
        <v>69</v>
      </c>
      <c r="J222" s="188"/>
      <c r="K222" s="21"/>
    </row>
    <row r="223" ht="13.5" customHeight="1">
      <c r="A223" s="188">
        <v>218.0</v>
      </c>
      <c r="B223" s="192">
        <v>45984.0</v>
      </c>
      <c r="C223" s="188">
        <v>95.0</v>
      </c>
      <c r="D223" s="188">
        <v>1.0</v>
      </c>
      <c r="E223" s="188">
        <v>1.0</v>
      </c>
      <c r="F223" s="188" t="s">
        <v>311</v>
      </c>
      <c r="G223" s="188" t="s">
        <v>491</v>
      </c>
      <c r="H223" s="192">
        <v>45984.0</v>
      </c>
      <c r="I223" s="188" t="s">
        <v>69</v>
      </c>
      <c r="J223" s="188"/>
      <c r="K223" s="21"/>
    </row>
    <row r="224" ht="13.5" customHeight="1">
      <c r="A224" s="188">
        <v>219.0</v>
      </c>
      <c r="B224" s="192">
        <v>45984.0</v>
      </c>
      <c r="C224" s="188">
        <v>130.0</v>
      </c>
      <c r="D224" s="188">
        <v>2.0</v>
      </c>
      <c r="E224" s="188">
        <v>1.0</v>
      </c>
      <c r="F224" s="188" t="s">
        <v>496</v>
      </c>
      <c r="G224" s="188" t="s">
        <v>491</v>
      </c>
      <c r="H224" s="192">
        <v>45984.0</v>
      </c>
      <c r="I224" s="188" t="s">
        <v>69</v>
      </c>
      <c r="J224" s="188"/>
      <c r="K224" s="21"/>
    </row>
    <row r="225" ht="13.5" customHeight="1">
      <c r="A225" s="188">
        <v>220.0</v>
      </c>
      <c r="B225" s="192">
        <v>45984.0</v>
      </c>
      <c r="C225" s="188">
        <v>126.0</v>
      </c>
      <c r="D225" s="188">
        <v>3.0</v>
      </c>
      <c r="E225" s="188">
        <v>1.0</v>
      </c>
      <c r="F225" s="188" t="s">
        <v>496</v>
      </c>
      <c r="G225" s="188" t="s">
        <v>491</v>
      </c>
      <c r="H225" s="192">
        <v>45984.0</v>
      </c>
      <c r="I225" s="188" t="s">
        <v>69</v>
      </c>
      <c r="J225" s="188"/>
      <c r="K225" s="21"/>
    </row>
    <row r="226" ht="13.5" customHeight="1">
      <c r="A226" s="188">
        <v>221.0</v>
      </c>
      <c r="B226" s="192">
        <v>45984.0</v>
      </c>
      <c r="C226" s="188">
        <v>111.0</v>
      </c>
      <c r="D226" s="188">
        <v>6.0</v>
      </c>
      <c r="E226" s="188">
        <v>2.0</v>
      </c>
      <c r="F226" s="188" t="s">
        <v>496</v>
      </c>
      <c r="G226" s="188" t="s">
        <v>491</v>
      </c>
      <c r="H226" s="192">
        <v>45984.0</v>
      </c>
      <c r="I226" s="188" t="s">
        <v>69</v>
      </c>
      <c r="J226" s="188"/>
      <c r="K226" s="21"/>
    </row>
    <row r="227" ht="13.5" customHeight="1">
      <c r="A227" s="188">
        <v>222.0</v>
      </c>
      <c r="B227" s="192">
        <v>45984.0</v>
      </c>
      <c r="C227" s="188">
        <v>24.0</v>
      </c>
      <c r="D227" s="188">
        <v>7.0</v>
      </c>
      <c r="E227" s="188">
        <v>2.0</v>
      </c>
      <c r="F227" s="188" t="s">
        <v>496</v>
      </c>
      <c r="G227" s="188" t="s">
        <v>491</v>
      </c>
      <c r="H227" s="192">
        <v>45984.0</v>
      </c>
      <c r="I227" s="188" t="s">
        <v>69</v>
      </c>
      <c r="J227" s="188"/>
      <c r="K227" s="21"/>
    </row>
    <row r="228" ht="13.5" customHeight="1">
      <c r="A228" s="188">
        <v>223.0</v>
      </c>
      <c r="B228" s="192">
        <v>45984.0</v>
      </c>
      <c r="C228" s="188">
        <v>8.0</v>
      </c>
      <c r="D228" s="188">
        <v>3.0</v>
      </c>
      <c r="E228" s="188">
        <v>1.0</v>
      </c>
      <c r="F228" s="188" t="s">
        <v>496</v>
      </c>
      <c r="G228" s="188" t="s">
        <v>491</v>
      </c>
      <c r="H228" s="192">
        <v>45984.0</v>
      </c>
      <c r="I228" s="188" t="s">
        <v>69</v>
      </c>
      <c r="J228" s="188"/>
      <c r="K228" s="21"/>
    </row>
    <row r="229" ht="13.5" customHeight="1">
      <c r="A229" s="188">
        <v>224.0</v>
      </c>
      <c r="B229" s="192">
        <v>45984.0</v>
      </c>
      <c r="C229" s="188">
        <v>77.0</v>
      </c>
      <c r="D229" s="188">
        <v>3.0</v>
      </c>
      <c r="E229" s="188">
        <v>1.0</v>
      </c>
      <c r="F229" s="188" t="s">
        <v>496</v>
      </c>
      <c r="G229" s="188" t="s">
        <v>491</v>
      </c>
      <c r="H229" s="192">
        <v>45984.0</v>
      </c>
      <c r="I229" s="188" t="s">
        <v>69</v>
      </c>
      <c r="J229" s="188"/>
      <c r="K229" s="21"/>
    </row>
    <row r="230" ht="13.5" customHeight="1">
      <c r="A230" s="188">
        <v>225.0</v>
      </c>
      <c r="B230" s="192">
        <v>45984.0</v>
      </c>
      <c r="C230" s="188">
        <v>77.0</v>
      </c>
      <c r="D230" s="188">
        <v>7.0</v>
      </c>
      <c r="E230" s="188">
        <v>2.0</v>
      </c>
      <c r="F230" s="188" t="s">
        <v>496</v>
      </c>
      <c r="G230" s="188" t="s">
        <v>491</v>
      </c>
      <c r="H230" s="192">
        <v>45984.0</v>
      </c>
      <c r="I230" s="188" t="s">
        <v>69</v>
      </c>
      <c r="J230" s="188"/>
      <c r="K230" s="21"/>
    </row>
    <row r="231" ht="13.5" customHeight="1">
      <c r="A231" s="188">
        <v>226.0</v>
      </c>
      <c r="B231" s="192">
        <v>45984.0</v>
      </c>
      <c r="C231" s="188">
        <v>77.0</v>
      </c>
      <c r="D231" s="188">
        <v>8.0</v>
      </c>
      <c r="E231" s="188">
        <v>2.0</v>
      </c>
      <c r="F231" s="188" t="s">
        <v>496</v>
      </c>
      <c r="G231" s="188" t="s">
        <v>491</v>
      </c>
      <c r="H231" s="192">
        <v>45984.0</v>
      </c>
      <c r="I231" s="188" t="s">
        <v>69</v>
      </c>
      <c r="J231" s="188"/>
      <c r="K231" s="21"/>
    </row>
    <row r="232" ht="13.5" customHeight="1">
      <c r="A232" s="188">
        <v>227.0</v>
      </c>
      <c r="B232" s="192">
        <v>45984.0</v>
      </c>
      <c r="C232" s="188">
        <v>83.0</v>
      </c>
      <c r="D232" s="188">
        <v>2.0</v>
      </c>
      <c r="E232" s="188">
        <v>1.0</v>
      </c>
      <c r="F232" s="188" t="s">
        <v>496</v>
      </c>
      <c r="G232" s="188" t="s">
        <v>491</v>
      </c>
      <c r="H232" s="192">
        <v>45984.0</v>
      </c>
      <c r="I232" s="188" t="s">
        <v>69</v>
      </c>
      <c r="J232" s="188"/>
      <c r="K232" s="21"/>
    </row>
    <row r="233" ht="13.5" customHeight="1">
      <c r="A233" s="188">
        <v>228.0</v>
      </c>
      <c r="B233" s="192">
        <v>45984.0</v>
      </c>
      <c r="C233" s="188">
        <v>83.0</v>
      </c>
      <c r="D233" s="188">
        <v>6.0</v>
      </c>
      <c r="E233" s="188">
        <v>2.0</v>
      </c>
      <c r="F233" s="188" t="s">
        <v>496</v>
      </c>
      <c r="G233" s="188" t="s">
        <v>491</v>
      </c>
      <c r="H233" s="192">
        <v>45984.0</v>
      </c>
      <c r="I233" s="188" t="s">
        <v>69</v>
      </c>
      <c r="J233" s="188"/>
      <c r="K233" s="21"/>
    </row>
    <row r="234" ht="13.5" customHeight="1">
      <c r="A234" s="188">
        <v>229.0</v>
      </c>
      <c r="B234" s="192">
        <v>45984.0</v>
      </c>
      <c r="C234" s="188">
        <v>83.0</v>
      </c>
      <c r="D234" s="188">
        <v>7.0</v>
      </c>
      <c r="E234" s="188">
        <v>2.0</v>
      </c>
      <c r="F234" s="188" t="s">
        <v>496</v>
      </c>
      <c r="G234" s="188" t="s">
        <v>491</v>
      </c>
      <c r="H234" s="192">
        <v>45984.0</v>
      </c>
      <c r="I234" s="188" t="s">
        <v>69</v>
      </c>
      <c r="J234" s="188"/>
      <c r="K234" s="21"/>
    </row>
    <row r="235" ht="13.5" customHeight="1">
      <c r="A235" s="188">
        <v>230.0</v>
      </c>
      <c r="B235" s="192">
        <v>45985.0</v>
      </c>
      <c r="C235" s="188">
        <v>77.0</v>
      </c>
      <c r="D235" s="188">
        <v>7.0</v>
      </c>
      <c r="E235" s="188">
        <v>2.0</v>
      </c>
      <c r="F235" s="188" t="s">
        <v>497</v>
      </c>
      <c r="G235" s="188" t="s">
        <v>491</v>
      </c>
      <c r="H235" s="192">
        <v>45985.0</v>
      </c>
      <c r="I235" s="188" t="s">
        <v>69</v>
      </c>
      <c r="J235" s="188"/>
      <c r="K235" s="21"/>
    </row>
    <row r="236" ht="13.5" customHeight="1">
      <c r="A236" s="188">
        <v>231.0</v>
      </c>
      <c r="B236" s="192">
        <v>45985.0</v>
      </c>
      <c r="C236" s="188">
        <v>62.0</v>
      </c>
      <c r="D236" s="188" t="s">
        <v>42</v>
      </c>
      <c r="E236" s="188" t="s">
        <v>488</v>
      </c>
      <c r="F236" s="188" t="s">
        <v>498</v>
      </c>
      <c r="G236" s="188" t="s">
        <v>491</v>
      </c>
      <c r="H236" s="192">
        <v>45985.0</v>
      </c>
      <c r="I236" s="188" t="s">
        <v>69</v>
      </c>
      <c r="J236" s="188"/>
      <c r="K236" s="21"/>
    </row>
    <row r="237" ht="13.5" customHeight="1">
      <c r="A237" s="188">
        <v>232.0</v>
      </c>
      <c r="B237" s="192">
        <v>45985.0</v>
      </c>
      <c r="C237" s="188">
        <v>72.0</v>
      </c>
      <c r="D237" s="188" t="s">
        <v>42</v>
      </c>
      <c r="E237" s="188" t="s">
        <v>488</v>
      </c>
      <c r="F237" s="188" t="s">
        <v>498</v>
      </c>
      <c r="G237" s="188" t="s">
        <v>491</v>
      </c>
      <c r="H237" s="192">
        <v>45985.0</v>
      </c>
      <c r="I237" s="188" t="s">
        <v>69</v>
      </c>
      <c r="J237" s="188"/>
      <c r="K237" s="21"/>
    </row>
    <row r="238" ht="13.5" customHeight="1">
      <c r="A238" s="188">
        <v>233.0</v>
      </c>
      <c r="B238" s="192">
        <v>45985.0</v>
      </c>
      <c r="C238" s="188">
        <v>72.0</v>
      </c>
      <c r="D238" s="188" t="s">
        <v>42</v>
      </c>
      <c r="E238" s="188">
        <v>2.0</v>
      </c>
      <c r="F238" s="188" t="s">
        <v>497</v>
      </c>
      <c r="G238" s="188" t="s">
        <v>491</v>
      </c>
      <c r="H238" s="192">
        <v>45985.0</v>
      </c>
      <c r="I238" s="188" t="s">
        <v>69</v>
      </c>
      <c r="J238" s="188"/>
      <c r="K238" s="21"/>
    </row>
    <row r="239" ht="13.5" customHeight="1">
      <c r="A239" s="188">
        <v>234.0</v>
      </c>
      <c r="B239" s="192">
        <v>45985.0</v>
      </c>
      <c r="C239" s="188">
        <v>35.0</v>
      </c>
      <c r="D239" s="188" t="s">
        <v>42</v>
      </c>
      <c r="E239" s="188" t="s">
        <v>488</v>
      </c>
      <c r="F239" s="188" t="s">
        <v>499</v>
      </c>
      <c r="G239" s="188" t="s">
        <v>500</v>
      </c>
      <c r="H239" s="192">
        <v>45985.0</v>
      </c>
      <c r="I239" s="188" t="s">
        <v>69</v>
      </c>
      <c r="J239" s="188"/>
      <c r="K239" s="21"/>
    </row>
    <row r="240" ht="13.5" customHeight="1">
      <c r="A240" s="188">
        <v>235.0</v>
      </c>
      <c r="B240" s="192">
        <v>45985.0</v>
      </c>
      <c r="C240" s="188">
        <v>28.0</v>
      </c>
      <c r="D240" s="188" t="s">
        <v>42</v>
      </c>
      <c r="E240" s="188" t="s">
        <v>488</v>
      </c>
      <c r="F240" s="188" t="s">
        <v>499</v>
      </c>
      <c r="G240" s="188" t="s">
        <v>500</v>
      </c>
      <c r="H240" s="192">
        <v>45985.0</v>
      </c>
      <c r="I240" s="188" t="s">
        <v>69</v>
      </c>
      <c r="J240" s="188"/>
      <c r="K240" s="21"/>
    </row>
    <row r="241" ht="13.5" customHeight="1">
      <c r="A241" s="188">
        <v>236.0</v>
      </c>
      <c r="B241" s="192">
        <v>45986.0</v>
      </c>
      <c r="C241" s="188">
        <v>43.0</v>
      </c>
      <c r="D241" s="188">
        <v>4.0</v>
      </c>
      <c r="E241" s="188" t="s">
        <v>488</v>
      </c>
      <c r="F241" s="188" t="s">
        <v>496</v>
      </c>
      <c r="G241" s="188" t="s">
        <v>491</v>
      </c>
      <c r="H241" s="192">
        <v>45986.0</v>
      </c>
      <c r="I241" s="188" t="s">
        <v>69</v>
      </c>
      <c r="J241" s="188"/>
      <c r="K241" s="21"/>
    </row>
    <row r="242" ht="13.5" customHeight="1">
      <c r="A242" s="188">
        <v>237.0</v>
      </c>
      <c r="B242" s="192">
        <v>45987.0</v>
      </c>
      <c r="C242" s="188">
        <v>121.0</v>
      </c>
      <c r="D242" s="188" t="s">
        <v>501</v>
      </c>
      <c r="E242" s="188" t="s">
        <v>488</v>
      </c>
      <c r="F242" s="188" t="s">
        <v>496</v>
      </c>
      <c r="G242" s="188" t="s">
        <v>491</v>
      </c>
      <c r="H242" s="192">
        <v>45987.0</v>
      </c>
      <c r="I242" s="188" t="s">
        <v>69</v>
      </c>
      <c r="J242" s="188"/>
      <c r="K242" s="21"/>
    </row>
    <row r="243" ht="13.5" customHeight="1">
      <c r="A243" s="188">
        <v>238.0</v>
      </c>
      <c r="B243" s="192">
        <v>45987.0</v>
      </c>
      <c r="C243" s="188">
        <v>124.0</v>
      </c>
      <c r="D243" s="188" t="s">
        <v>502</v>
      </c>
      <c r="E243" s="188" t="s">
        <v>488</v>
      </c>
      <c r="F243" s="188" t="s">
        <v>496</v>
      </c>
      <c r="G243" s="188" t="s">
        <v>491</v>
      </c>
      <c r="H243" s="192">
        <v>45987.0</v>
      </c>
      <c r="I243" s="188" t="s">
        <v>69</v>
      </c>
      <c r="J243" s="188"/>
      <c r="K243" s="21"/>
    </row>
    <row r="244" ht="13.5" customHeight="1">
      <c r="A244" s="188">
        <v>239.0</v>
      </c>
      <c r="B244" s="192">
        <v>45987.0</v>
      </c>
      <c r="C244" s="188">
        <v>120.0</v>
      </c>
      <c r="D244" s="188">
        <v>6.0</v>
      </c>
      <c r="E244" s="188">
        <v>2.0</v>
      </c>
      <c r="F244" s="188" t="s">
        <v>484</v>
      </c>
      <c r="G244" s="188" t="s">
        <v>503</v>
      </c>
      <c r="H244" s="192">
        <v>45987.0</v>
      </c>
      <c r="I244" s="188" t="s">
        <v>69</v>
      </c>
      <c r="J244" s="188"/>
      <c r="K244" s="21"/>
    </row>
    <row r="245" ht="13.5" customHeight="1">
      <c r="A245" s="188">
        <v>240.0</v>
      </c>
      <c r="B245" s="192">
        <v>45987.0</v>
      </c>
      <c r="C245" s="188">
        <v>11.0</v>
      </c>
      <c r="D245" s="188">
        <v>8.0</v>
      </c>
      <c r="E245" s="188">
        <v>2.0</v>
      </c>
      <c r="F245" s="188" t="s">
        <v>432</v>
      </c>
      <c r="G245" s="188" t="s">
        <v>491</v>
      </c>
      <c r="H245" s="192">
        <v>45987.0</v>
      </c>
      <c r="I245" s="188" t="s">
        <v>69</v>
      </c>
      <c r="J245" s="188"/>
      <c r="K245" s="21"/>
    </row>
    <row r="246" ht="13.5" customHeight="1">
      <c r="A246" s="188">
        <v>241.0</v>
      </c>
      <c r="B246" s="192">
        <v>45987.0</v>
      </c>
      <c r="C246" s="188">
        <v>113.0</v>
      </c>
      <c r="D246" s="188">
        <v>7.0</v>
      </c>
      <c r="E246" s="188">
        <v>2.0</v>
      </c>
      <c r="F246" s="188" t="s">
        <v>432</v>
      </c>
      <c r="G246" s="188" t="s">
        <v>491</v>
      </c>
      <c r="H246" s="192">
        <v>45987.0</v>
      </c>
      <c r="I246" s="188" t="s">
        <v>69</v>
      </c>
      <c r="J246" s="188"/>
      <c r="K246" s="21"/>
    </row>
    <row r="247" ht="13.5" customHeight="1">
      <c r="A247" s="188">
        <v>242.0</v>
      </c>
      <c r="B247" s="192">
        <v>45988.0</v>
      </c>
      <c r="C247" s="188">
        <v>109.0</v>
      </c>
      <c r="D247" s="188" t="s">
        <v>42</v>
      </c>
      <c r="E247" s="188" t="s">
        <v>488</v>
      </c>
      <c r="F247" s="188" t="s">
        <v>504</v>
      </c>
      <c r="G247" s="188" t="s">
        <v>491</v>
      </c>
      <c r="H247" s="192">
        <v>45988.0</v>
      </c>
      <c r="I247" s="188" t="s">
        <v>69</v>
      </c>
      <c r="J247" s="79"/>
      <c r="K247" s="21"/>
    </row>
    <row r="248" ht="13.5" customHeight="1">
      <c r="A248" s="188">
        <v>243.0</v>
      </c>
      <c r="B248" s="192">
        <v>45988.0</v>
      </c>
      <c r="C248" s="188">
        <v>11.0</v>
      </c>
      <c r="D248" s="188">
        <v>7.0</v>
      </c>
      <c r="E248" s="188">
        <v>2.0</v>
      </c>
      <c r="F248" s="188" t="s">
        <v>432</v>
      </c>
      <c r="G248" s="188" t="s">
        <v>467</v>
      </c>
      <c r="H248" s="192">
        <v>45988.0</v>
      </c>
      <c r="I248" s="188" t="s">
        <v>69</v>
      </c>
      <c r="J248" s="79"/>
      <c r="K248" s="21"/>
    </row>
    <row r="249" ht="13.5" customHeight="1">
      <c r="A249" s="188">
        <v>244.0</v>
      </c>
      <c r="B249" s="192">
        <v>45989.0</v>
      </c>
      <c r="C249" s="188">
        <v>77.0</v>
      </c>
      <c r="D249" s="188" t="s">
        <v>42</v>
      </c>
      <c r="E249" s="188">
        <v>1.0</v>
      </c>
      <c r="F249" s="194" t="s">
        <v>498</v>
      </c>
      <c r="G249" s="194" t="s">
        <v>505</v>
      </c>
      <c r="H249" s="195">
        <v>45997.0</v>
      </c>
      <c r="I249" s="188" t="s">
        <v>69</v>
      </c>
      <c r="J249" s="79"/>
      <c r="K249" s="21"/>
    </row>
    <row r="250" ht="13.5" customHeight="1">
      <c r="A250" s="188">
        <v>245.0</v>
      </c>
      <c r="B250" s="192">
        <v>45989.0</v>
      </c>
      <c r="C250" s="188">
        <v>105.0</v>
      </c>
      <c r="D250" s="188" t="s">
        <v>42</v>
      </c>
      <c r="E250" s="188">
        <v>1.0</v>
      </c>
      <c r="F250" s="188" t="s">
        <v>498</v>
      </c>
      <c r="G250" s="188" t="s">
        <v>491</v>
      </c>
      <c r="H250" s="192">
        <v>45989.0</v>
      </c>
      <c r="I250" s="188" t="s">
        <v>69</v>
      </c>
      <c r="J250" s="79"/>
      <c r="K250" s="21"/>
    </row>
    <row r="251" ht="13.5" customHeight="1">
      <c r="A251" s="188">
        <v>246.0</v>
      </c>
      <c r="B251" s="192">
        <v>45989.0</v>
      </c>
      <c r="C251" s="188">
        <v>109.0</v>
      </c>
      <c r="D251" s="188" t="s">
        <v>42</v>
      </c>
      <c r="E251" s="188" t="s">
        <v>488</v>
      </c>
      <c r="F251" s="188" t="s">
        <v>504</v>
      </c>
      <c r="G251" s="188" t="s">
        <v>491</v>
      </c>
      <c r="H251" s="192">
        <v>45989.0</v>
      </c>
      <c r="I251" s="188" t="s">
        <v>69</v>
      </c>
      <c r="J251" s="79"/>
      <c r="K251" s="21"/>
    </row>
    <row r="252" ht="13.5" customHeight="1">
      <c r="A252" s="188">
        <v>247.0</v>
      </c>
      <c r="B252" s="192">
        <v>45990.0</v>
      </c>
      <c r="C252" s="188">
        <v>52.0</v>
      </c>
      <c r="D252" s="188">
        <v>4.0</v>
      </c>
      <c r="E252" s="188">
        <v>1.0</v>
      </c>
      <c r="F252" s="194" t="s">
        <v>432</v>
      </c>
      <c r="G252" s="188" t="s">
        <v>506</v>
      </c>
      <c r="H252" s="192">
        <v>45990.0</v>
      </c>
      <c r="I252" s="188" t="s">
        <v>69</v>
      </c>
      <c r="J252" s="79"/>
      <c r="K252" s="21"/>
    </row>
    <row r="253" ht="13.5" customHeight="1">
      <c r="A253" s="188">
        <v>248.0</v>
      </c>
      <c r="B253" s="192">
        <v>45992.0</v>
      </c>
      <c r="C253" s="188">
        <v>105.0</v>
      </c>
      <c r="D253" s="90">
        <v>7.0</v>
      </c>
      <c r="E253" s="188">
        <v>2.0</v>
      </c>
      <c r="F253" s="188" t="s">
        <v>507</v>
      </c>
      <c r="G253" s="188" t="s">
        <v>508</v>
      </c>
      <c r="H253" s="192">
        <v>45992.0</v>
      </c>
      <c r="I253" s="196" t="s">
        <v>69</v>
      </c>
      <c r="J253" s="79"/>
      <c r="K253" s="21"/>
    </row>
    <row r="254" ht="13.5" customHeight="1">
      <c r="A254" s="188">
        <v>249.0</v>
      </c>
      <c r="B254" s="195">
        <v>45999.0</v>
      </c>
      <c r="C254" s="197">
        <v>125.0</v>
      </c>
      <c r="D254" s="78">
        <v>6.0</v>
      </c>
      <c r="E254" s="188">
        <v>2.0</v>
      </c>
      <c r="F254" s="188" t="s">
        <v>507</v>
      </c>
      <c r="G254" s="188" t="s">
        <v>506</v>
      </c>
      <c r="H254" s="195">
        <v>45999.0</v>
      </c>
      <c r="I254" s="196" t="s">
        <v>69</v>
      </c>
      <c r="J254" s="79"/>
      <c r="K254" s="21"/>
    </row>
    <row r="255" ht="13.5" customHeight="1">
      <c r="A255" s="188">
        <v>250.0</v>
      </c>
      <c r="B255" s="195">
        <v>46001.0</v>
      </c>
      <c r="C255" s="78" t="s">
        <v>509</v>
      </c>
      <c r="D255" s="78" t="s">
        <v>42</v>
      </c>
      <c r="E255" s="78" t="s">
        <v>42</v>
      </c>
      <c r="F255" s="197" t="s">
        <v>496</v>
      </c>
      <c r="G255" s="198" t="s">
        <v>510</v>
      </c>
      <c r="H255" s="195">
        <v>46001.0</v>
      </c>
      <c r="I255" s="196" t="s">
        <v>69</v>
      </c>
      <c r="J255" s="79"/>
      <c r="K255" s="21"/>
    </row>
    <row r="256" ht="13.5" customHeight="1">
      <c r="A256" s="188">
        <v>251.0</v>
      </c>
      <c r="B256" s="195">
        <v>46002.0</v>
      </c>
      <c r="C256" s="78" t="s">
        <v>511</v>
      </c>
      <c r="D256" s="78" t="s">
        <v>42</v>
      </c>
      <c r="E256" s="78" t="s">
        <v>42</v>
      </c>
      <c r="F256" s="197" t="s">
        <v>496</v>
      </c>
      <c r="G256" s="198" t="s">
        <v>510</v>
      </c>
      <c r="H256" s="195">
        <v>46002.0</v>
      </c>
      <c r="I256" s="196" t="s">
        <v>69</v>
      </c>
      <c r="J256" s="79"/>
      <c r="K256" s="21"/>
    </row>
    <row r="257" ht="13.5" customHeight="1">
      <c r="A257" s="188">
        <v>252.0</v>
      </c>
      <c r="B257" s="195">
        <v>46002.0</v>
      </c>
      <c r="C257" s="78">
        <v>108.0</v>
      </c>
      <c r="D257" s="78">
        <v>1.0</v>
      </c>
      <c r="E257" s="78">
        <v>2.0</v>
      </c>
      <c r="F257" s="197" t="s">
        <v>484</v>
      </c>
      <c r="G257" s="198" t="s">
        <v>510</v>
      </c>
      <c r="H257" s="195">
        <v>46002.0</v>
      </c>
      <c r="I257" s="196" t="s">
        <v>69</v>
      </c>
      <c r="J257" s="79"/>
      <c r="K257" s="21"/>
    </row>
    <row r="258" ht="13.5" customHeight="1">
      <c r="A258" s="188">
        <v>253.0</v>
      </c>
      <c r="B258" s="195">
        <v>46002.0</v>
      </c>
      <c r="C258" s="78">
        <v>121.0</v>
      </c>
      <c r="D258" s="78">
        <v>2.0</v>
      </c>
      <c r="E258" s="78" t="s">
        <v>42</v>
      </c>
      <c r="F258" s="197" t="s">
        <v>484</v>
      </c>
      <c r="G258" s="198" t="s">
        <v>512</v>
      </c>
      <c r="H258" s="195">
        <v>46002.0</v>
      </c>
      <c r="I258" s="196" t="s">
        <v>69</v>
      </c>
      <c r="J258" s="79"/>
      <c r="K258" s="21"/>
    </row>
    <row r="259" ht="13.5" customHeight="1">
      <c r="A259" s="188">
        <v>254.0</v>
      </c>
      <c r="B259" s="195">
        <v>46003.0</v>
      </c>
      <c r="C259" s="78">
        <v>108.0</v>
      </c>
      <c r="D259" s="78">
        <v>1.0</v>
      </c>
      <c r="E259" s="78">
        <v>2.0</v>
      </c>
      <c r="F259" s="197" t="s">
        <v>484</v>
      </c>
      <c r="G259" s="197" t="s">
        <v>513</v>
      </c>
      <c r="H259" s="195">
        <v>46003.0</v>
      </c>
      <c r="I259" s="196" t="s">
        <v>69</v>
      </c>
      <c r="J259" s="79"/>
      <c r="K259" s="21"/>
    </row>
    <row r="260" ht="13.5" customHeight="1">
      <c r="A260" s="188">
        <v>255.0</v>
      </c>
      <c r="B260" s="195">
        <v>46003.0</v>
      </c>
      <c r="C260" s="198">
        <v>8.0</v>
      </c>
      <c r="D260" s="78">
        <v>2.0</v>
      </c>
      <c r="E260" s="78" t="s">
        <v>42</v>
      </c>
      <c r="F260" s="78" t="s">
        <v>514</v>
      </c>
      <c r="G260" s="198" t="s">
        <v>510</v>
      </c>
      <c r="H260" s="195">
        <v>46003.0</v>
      </c>
      <c r="I260" s="196" t="s">
        <v>69</v>
      </c>
      <c r="J260" s="79"/>
      <c r="K260" s="21"/>
    </row>
    <row r="261" ht="13.5" customHeight="1">
      <c r="A261" s="188">
        <v>256.0</v>
      </c>
      <c r="B261" s="195">
        <v>46003.0</v>
      </c>
      <c r="C261" s="78">
        <v>20.0</v>
      </c>
      <c r="D261" s="78" t="s">
        <v>42</v>
      </c>
      <c r="E261" s="78" t="s">
        <v>42</v>
      </c>
      <c r="F261" s="78" t="s">
        <v>514</v>
      </c>
      <c r="G261" s="198" t="s">
        <v>510</v>
      </c>
      <c r="H261" s="195">
        <v>46003.0</v>
      </c>
      <c r="I261" s="196" t="s">
        <v>69</v>
      </c>
      <c r="J261" s="79"/>
      <c r="K261" s="21"/>
    </row>
    <row r="262" ht="13.5" customHeight="1">
      <c r="A262" s="188">
        <v>257.0</v>
      </c>
      <c r="B262" s="195">
        <v>46003.0</v>
      </c>
      <c r="C262" s="78">
        <v>24.0</v>
      </c>
      <c r="D262" s="78">
        <v>1.0</v>
      </c>
      <c r="E262" s="78" t="s">
        <v>42</v>
      </c>
      <c r="F262" s="78" t="s">
        <v>514</v>
      </c>
      <c r="G262" s="198" t="s">
        <v>510</v>
      </c>
      <c r="H262" s="195">
        <v>46003.0</v>
      </c>
      <c r="I262" s="196" t="s">
        <v>69</v>
      </c>
      <c r="J262" s="79"/>
      <c r="K262" s="21"/>
    </row>
    <row r="263" ht="13.5" customHeight="1">
      <c r="A263" s="188">
        <v>258.0</v>
      </c>
      <c r="B263" s="195">
        <v>46003.0</v>
      </c>
      <c r="C263" s="78">
        <v>28.0</v>
      </c>
      <c r="D263" s="78" t="s">
        <v>42</v>
      </c>
      <c r="E263" s="78" t="s">
        <v>42</v>
      </c>
      <c r="F263" s="197" t="s">
        <v>496</v>
      </c>
      <c r="G263" s="198" t="s">
        <v>510</v>
      </c>
      <c r="H263" s="195">
        <v>46003.0</v>
      </c>
      <c r="I263" s="196" t="s">
        <v>69</v>
      </c>
      <c r="J263" s="79"/>
      <c r="K263" s="21"/>
    </row>
    <row r="264" ht="13.5" customHeight="1">
      <c r="A264" s="188">
        <v>259.0</v>
      </c>
      <c r="B264" s="195">
        <v>46003.0</v>
      </c>
      <c r="C264" s="78">
        <v>35.0</v>
      </c>
      <c r="D264" s="78" t="s">
        <v>42</v>
      </c>
      <c r="E264" s="78" t="s">
        <v>42</v>
      </c>
      <c r="F264" s="197" t="s">
        <v>496</v>
      </c>
      <c r="G264" s="198" t="s">
        <v>510</v>
      </c>
      <c r="H264" s="195">
        <v>46003.0</v>
      </c>
      <c r="I264" s="196" t="s">
        <v>69</v>
      </c>
      <c r="J264" s="79"/>
      <c r="K264" s="21"/>
    </row>
    <row r="265" ht="13.5" customHeight="1">
      <c r="A265" s="188">
        <v>260.0</v>
      </c>
      <c r="B265" s="195">
        <v>46006.0</v>
      </c>
      <c r="C265" s="198">
        <v>56.0</v>
      </c>
      <c r="D265" s="198">
        <v>1.0</v>
      </c>
      <c r="E265" s="198">
        <v>1.0</v>
      </c>
      <c r="F265" s="78" t="s">
        <v>432</v>
      </c>
      <c r="G265" s="197" t="s">
        <v>515</v>
      </c>
      <c r="H265" s="195">
        <v>46006.0</v>
      </c>
      <c r="I265" s="196" t="s">
        <v>69</v>
      </c>
      <c r="J265" s="79"/>
      <c r="K265" s="21"/>
    </row>
    <row r="266" ht="13.5" customHeight="1">
      <c r="A266" s="188">
        <v>261.0</v>
      </c>
      <c r="B266" s="195">
        <v>46007.0</v>
      </c>
      <c r="C266" s="198">
        <v>108.0</v>
      </c>
      <c r="D266" s="78">
        <v>1.0</v>
      </c>
      <c r="E266" s="78">
        <v>2.0</v>
      </c>
      <c r="F266" s="198" t="s">
        <v>516</v>
      </c>
      <c r="G266" s="197" t="s">
        <v>517</v>
      </c>
      <c r="H266" s="195">
        <v>46007.0</v>
      </c>
      <c r="I266" s="196" t="s">
        <v>69</v>
      </c>
      <c r="J266" s="79"/>
      <c r="K266" s="21"/>
    </row>
    <row r="267" ht="13.5" customHeight="1">
      <c r="A267" s="188">
        <v>262.0</v>
      </c>
      <c r="B267" s="195">
        <v>46008.0</v>
      </c>
      <c r="C267" s="198">
        <v>35.0</v>
      </c>
      <c r="D267" s="78" t="s">
        <v>24</v>
      </c>
      <c r="E267" s="78">
        <v>2.0</v>
      </c>
      <c r="F267" s="78" t="s">
        <v>518</v>
      </c>
      <c r="G267" s="78" t="s">
        <v>519</v>
      </c>
      <c r="H267" s="195">
        <v>46008.0</v>
      </c>
      <c r="I267" s="78" t="s">
        <v>69</v>
      </c>
      <c r="J267" s="79"/>
      <c r="K267" s="21"/>
    </row>
    <row r="268" ht="13.5" customHeight="1">
      <c r="A268" s="188">
        <v>263.0</v>
      </c>
      <c r="B268" s="195">
        <v>46011.0</v>
      </c>
      <c r="C268" s="198">
        <v>117.0</v>
      </c>
      <c r="D268" s="78">
        <v>1.0</v>
      </c>
      <c r="E268" s="78">
        <v>1.0</v>
      </c>
      <c r="F268" s="78" t="s">
        <v>520</v>
      </c>
      <c r="G268" s="78" t="s">
        <v>521</v>
      </c>
      <c r="H268" s="195">
        <v>46013.0</v>
      </c>
      <c r="I268" s="78" t="s">
        <v>69</v>
      </c>
      <c r="J268" s="79"/>
      <c r="K268" s="21"/>
    </row>
    <row r="269" ht="13.5" customHeight="1">
      <c r="A269" s="188">
        <v>264.0</v>
      </c>
      <c r="B269" s="195">
        <v>46019.0</v>
      </c>
      <c r="C269" s="78">
        <v>78.0</v>
      </c>
      <c r="D269" s="198">
        <v>6.0</v>
      </c>
      <c r="E269" s="198">
        <v>2.0</v>
      </c>
      <c r="F269" s="198" t="s">
        <v>516</v>
      </c>
      <c r="G269" s="198" t="s">
        <v>522</v>
      </c>
      <c r="H269" s="195">
        <v>46019.0</v>
      </c>
      <c r="I269" s="78" t="s">
        <v>69</v>
      </c>
      <c r="J269" s="79"/>
      <c r="K269" s="21"/>
    </row>
    <row r="270" ht="13.5" customHeight="1">
      <c r="A270" s="188">
        <v>265.0</v>
      </c>
      <c r="B270" s="195">
        <v>46026.0</v>
      </c>
      <c r="C270" s="78">
        <v>7.0</v>
      </c>
      <c r="D270" s="78">
        <v>4.0</v>
      </c>
      <c r="E270" s="78">
        <v>1.0</v>
      </c>
      <c r="F270" s="78" t="s">
        <v>432</v>
      </c>
      <c r="G270" s="78" t="s">
        <v>523</v>
      </c>
      <c r="H270" s="195">
        <v>46026.0</v>
      </c>
      <c r="I270" s="78" t="s">
        <v>69</v>
      </c>
      <c r="J270" s="79"/>
      <c r="K270" s="21"/>
    </row>
    <row r="271" ht="13.5" customHeight="1">
      <c r="A271" s="188">
        <v>266.0</v>
      </c>
      <c r="B271" s="195">
        <v>46027.0</v>
      </c>
      <c r="C271" s="78">
        <v>7.0</v>
      </c>
      <c r="D271" s="78">
        <v>4.0</v>
      </c>
      <c r="E271" s="78">
        <v>1.0</v>
      </c>
      <c r="F271" s="78" t="s">
        <v>432</v>
      </c>
      <c r="G271" s="78" t="s">
        <v>524</v>
      </c>
      <c r="H271" s="195">
        <v>46027.0</v>
      </c>
      <c r="I271" s="78" t="s">
        <v>69</v>
      </c>
      <c r="J271" s="79"/>
      <c r="K271" s="21"/>
    </row>
    <row r="272" ht="13.5" customHeight="1">
      <c r="A272" s="188">
        <v>267.0</v>
      </c>
      <c r="B272" s="195">
        <v>46027.0</v>
      </c>
      <c r="C272" s="78">
        <v>127.0</v>
      </c>
      <c r="D272" s="78" t="s">
        <v>525</v>
      </c>
      <c r="E272" s="78" t="s">
        <v>42</v>
      </c>
      <c r="F272" s="78" t="s">
        <v>526</v>
      </c>
      <c r="G272" s="78" t="s">
        <v>527</v>
      </c>
      <c r="H272" s="195">
        <v>46027.0</v>
      </c>
      <c r="I272" s="78" t="s">
        <v>69</v>
      </c>
      <c r="J272" s="79"/>
      <c r="K272" s="21"/>
    </row>
    <row r="273" ht="13.5" customHeight="1">
      <c r="A273" s="188">
        <v>268.0</v>
      </c>
      <c r="B273" s="195">
        <v>46027.0</v>
      </c>
      <c r="C273" s="78">
        <v>56.0</v>
      </c>
      <c r="D273" s="78">
        <v>2.0</v>
      </c>
      <c r="E273" s="78">
        <v>1.0</v>
      </c>
      <c r="F273" s="78" t="s">
        <v>432</v>
      </c>
      <c r="G273" s="78" t="s">
        <v>528</v>
      </c>
      <c r="H273" s="195">
        <v>46027.0</v>
      </c>
      <c r="I273" s="78" t="s">
        <v>69</v>
      </c>
      <c r="J273" s="79"/>
      <c r="K273" s="21"/>
    </row>
    <row r="274" ht="13.5" customHeight="1">
      <c r="A274" s="194">
        <v>269.0</v>
      </c>
      <c r="B274" s="195">
        <v>46038.0</v>
      </c>
      <c r="C274" s="78">
        <v>116.0</v>
      </c>
      <c r="D274" s="78" t="s">
        <v>42</v>
      </c>
      <c r="E274" s="78" t="s">
        <v>42</v>
      </c>
      <c r="F274" s="78" t="s">
        <v>529</v>
      </c>
      <c r="G274" s="78" t="s">
        <v>530</v>
      </c>
      <c r="H274" s="195">
        <v>46038.0</v>
      </c>
      <c r="I274" s="78" t="s">
        <v>69</v>
      </c>
      <c r="J274" s="79"/>
      <c r="K274" s="21"/>
    </row>
    <row r="275" ht="13.5" customHeight="1">
      <c r="A275" s="188">
        <v>270.0</v>
      </c>
      <c r="B275" s="195">
        <v>46040.0</v>
      </c>
      <c r="C275" s="78">
        <v>117.0</v>
      </c>
      <c r="D275" s="78">
        <v>3.0</v>
      </c>
      <c r="E275" s="78">
        <v>1.0</v>
      </c>
      <c r="F275" s="78" t="s">
        <v>531</v>
      </c>
      <c r="G275" s="78" t="s">
        <v>532</v>
      </c>
      <c r="H275" s="195">
        <v>46042.0</v>
      </c>
      <c r="I275" s="78" t="s">
        <v>69</v>
      </c>
      <c r="J275" s="79"/>
      <c r="K275" s="21"/>
    </row>
    <row r="276" ht="13.5" customHeight="1">
      <c r="A276" s="188">
        <v>271.0</v>
      </c>
      <c r="B276" s="195">
        <v>46043.0</v>
      </c>
      <c r="C276" s="78">
        <v>64.0</v>
      </c>
      <c r="D276" s="85"/>
      <c r="E276" s="78">
        <v>1.0</v>
      </c>
      <c r="F276" s="78" t="s">
        <v>427</v>
      </c>
      <c r="G276" s="78" t="s">
        <v>475</v>
      </c>
      <c r="H276" s="195">
        <v>46043.0</v>
      </c>
      <c r="I276" s="78" t="s">
        <v>69</v>
      </c>
      <c r="J276" s="79"/>
      <c r="K276" s="21"/>
    </row>
    <row r="277" ht="13.5" customHeight="1">
      <c r="A277" s="194">
        <v>272.0</v>
      </c>
      <c r="B277" s="195">
        <v>46043.0</v>
      </c>
      <c r="C277" s="78">
        <v>64.0</v>
      </c>
      <c r="D277" s="85"/>
      <c r="E277" s="78">
        <v>2.0</v>
      </c>
      <c r="F277" s="78" t="s">
        <v>427</v>
      </c>
      <c r="G277" s="78" t="s">
        <v>475</v>
      </c>
      <c r="H277" s="195">
        <v>46043.0</v>
      </c>
      <c r="I277" s="78" t="s">
        <v>69</v>
      </c>
      <c r="J277" s="79"/>
      <c r="K277" s="21"/>
    </row>
    <row r="278" ht="13.5" customHeight="1">
      <c r="A278" s="194">
        <v>273.0</v>
      </c>
      <c r="B278" s="195">
        <v>46043.0</v>
      </c>
      <c r="C278" s="78">
        <v>131.0</v>
      </c>
      <c r="D278" s="78">
        <v>5.0</v>
      </c>
      <c r="E278" s="78">
        <v>2.0</v>
      </c>
      <c r="F278" s="78" t="s">
        <v>427</v>
      </c>
      <c r="G278" s="78" t="s">
        <v>475</v>
      </c>
      <c r="H278" s="195">
        <v>46043.0</v>
      </c>
      <c r="I278" s="78" t="s">
        <v>69</v>
      </c>
      <c r="J278" s="79"/>
      <c r="K278" s="21"/>
    </row>
    <row r="279" ht="13.5" customHeight="1">
      <c r="A279" s="194">
        <v>274.0</v>
      </c>
      <c r="B279" s="195">
        <v>46043.0</v>
      </c>
      <c r="C279" s="78">
        <v>131.0</v>
      </c>
      <c r="D279" s="78" t="s">
        <v>466</v>
      </c>
      <c r="E279" s="78">
        <v>2.0</v>
      </c>
      <c r="F279" s="78" t="s">
        <v>427</v>
      </c>
      <c r="G279" s="78" t="s">
        <v>475</v>
      </c>
      <c r="H279" s="195">
        <v>46043.0</v>
      </c>
      <c r="I279" s="78" t="s">
        <v>69</v>
      </c>
      <c r="J279" s="79"/>
      <c r="K279" s="21"/>
    </row>
    <row r="280" ht="13.5" customHeight="1">
      <c r="A280" s="194">
        <v>275.0</v>
      </c>
      <c r="B280" s="195">
        <v>46048.0</v>
      </c>
      <c r="C280" s="78">
        <v>88.0</v>
      </c>
      <c r="D280" s="78">
        <v>7.0</v>
      </c>
      <c r="E280" s="78">
        <v>2.0</v>
      </c>
      <c r="F280" s="78" t="s">
        <v>311</v>
      </c>
      <c r="G280" s="78" t="s">
        <v>312</v>
      </c>
      <c r="H280" s="195">
        <v>46048.0</v>
      </c>
      <c r="I280" s="78" t="s">
        <v>69</v>
      </c>
      <c r="J280" s="79"/>
      <c r="K280" s="21"/>
    </row>
    <row r="281" ht="13.5" customHeight="1">
      <c r="A281" s="194">
        <v>276.0</v>
      </c>
      <c r="B281" s="195">
        <v>46052.0</v>
      </c>
      <c r="C281" s="78">
        <v>34.0</v>
      </c>
      <c r="D281" s="78">
        <v>6.0</v>
      </c>
      <c r="E281" s="78">
        <v>2.0</v>
      </c>
      <c r="F281" s="78" t="s">
        <v>514</v>
      </c>
      <c r="G281" s="78" t="s">
        <v>533</v>
      </c>
      <c r="H281" s="195">
        <v>46052.0</v>
      </c>
      <c r="I281" s="78" t="s">
        <v>69</v>
      </c>
      <c r="J281" s="79"/>
      <c r="K281" s="21"/>
    </row>
    <row r="282" ht="13.5" customHeight="1">
      <c r="A282" s="194">
        <v>277.0</v>
      </c>
      <c r="B282" s="195">
        <v>46055.0</v>
      </c>
      <c r="C282" s="78">
        <v>13.0</v>
      </c>
      <c r="D282" s="78">
        <v>1.0</v>
      </c>
      <c r="E282" s="78">
        <v>1.0</v>
      </c>
      <c r="F282" s="78" t="s">
        <v>534</v>
      </c>
      <c r="G282" s="78" t="s">
        <v>535</v>
      </c>
      <c r="H282" s="195">
        <v>46055.0</v>
      </c>
      <c r="I282" s="78" t="s">
        <v>69</v>
      </c>
      <c r="J282" s="79"/>
      <c r="K282" s="21"/>
    </row>
    <row r="283" ht="13.5" customHeight="1">
      <c r="A283" s="194">
        <v>278.0</v>
      </c>
      <c r="B283" s="195">
        <v>46059.0</v>
      </c>
      <c r="C283" s="78">
        <v>108.0</v>
      </c>
      <c r="D283" s="78">
        <v>2.0</v>
      </c>
      <c r="E283" s="78">
        <v>1.0</v>
      </c>
      <c r="F283" s="78" t="s">
        <v>536</v>
      </c>
      <c r="G283" s="78" t="s">
        <v>537</v>
      </c>
      <c r="H283" s="195">
        <v>46059.0</v>
      </c>
      <c r="I283" s="78" t="s">
        <v>69</v>
      </c>
      <c r="J283" s="79"/>
      <c r="K283" s="21"/>
    </row>
    <row r="284" ht="13.5" customHeight="1">
      <c r="A284" s="194">
        <v>279.0</v>
      </c>
      <c r="B284" s="195">
        <v>46069.0</v>
      </c>
      <c r="C284" s="78">
        <v>87.0</v>
      </c>
      <c r="D284" s="78">
        <v>1.0</v>
      </c>
      <c r="E284" s="78">
        <v>1.0</v>
      </c>
      <c r="F284" s="78" t="s">
        <v>518</v>
      </c>
      <c r="G284" s="78" t="s">
        <v>519</v>
      </c>
      <c r="H284" s="195">
        <v>46069.0</v>
      </c>
      <c r="I284" s="78" t="s">
        <v>69</v>
      </c>
      <c r="J284" s="79"/>
      <c r="K284" s="21"/>
    </row>
    <row r="285" ht="13.5" customHeight="1">
      <c r="A285" s="194">
        <v>280.0</v>
      </c>
      <c r="B285" s="195">
        <v>46073.0</v>
      </c>
      <c r="C285" s="78">
        <v>62.0</v>
      </c>
      <c r="D285" s="78">
        <v>1.0</v>
      </c>
      <c r="E285" s="78">
        <v>2.0</v>
      </c>
      <c r="F285" s="78" t="s">
        <v>534</v>
      </c>
      <c r="G285" s="78" t="s">
        <v>538</v>
      </c>
      <c r="H285" s="195">
        <v>46074.0</v>
      </c>
      <c r="I285" s="78" t="s">
        <v>69</v>
      </c>
      <c r="J285" s="79"/>
      <c r="K285" s="21"/>
    </row>
    <row r="286" ht="13.5" customHeight="1">
      <c r="A286" s="194">
        <v>281.0</v>
      </c>
      <c r="B286" s="195">
        <v>46078.0</v>
      </c>
      <c r="C286" s="78">
        <v>99.0</v>
      </c>
      <c r="D286" s="78">
        <v>2.0</v>
      </c>
      <c r="E286" s="78">
        <v>1.0</v>
      </c>
      <c r="F286" s="78" t="s">
        <v>539</v>
      </c>
      <c r="G286" s="78" t="s">
        <v>519</v>
      </c>
      <c r="H286" s="195">
        <v>46078.0</v>
      </c>
      <c r="I286" s="78" t="s">
        <v>69</v>
      </c>
      <c r="J286" s="79"/>
      <c r="K286" s="21"/>
    </row>
    <row r="287" ht="13.5" customHeight="1">
      <c r="A287" s="194">
        <v>282.0</v>
      </c>
      <c r="B287" s="195">
        <v>46078.0</v>
      </c>
      <c r="C287" s="78">
        <v>87.0</v>
      </c>
      <c r="D287" s="78">
        <v>1.0</v>
      </c>
      <c r="E287" s="78">
        <v>1.0</v>
      </c>
      <c r="F287" s="78" t="s">
        <v>539</v>
      </c>
      <c r="G287" s="78" t="s">
        <v>519</v>
      </c>
      <c r="H287" s="195">
        <v>46078.0</v>
      </c>
      <c r="I287" s="78" t="s">
        <v>69</v>
      </c>
      <c r="J287" s="79"/>
      <c r="K287" s="21"/>
    </row>
    <row r="288" ht="13.5" customHeight="1">
      <c r="A288" s="194">
        <v>283.0</v>
      </c>
      <c r="B288" s="195">
        <v>46078.0</v>
      </c>
      <c r="C288" s="78">
        <v>87.0</v>
      </c>
      <c r="D288" s="78">
        <v>2.0</v>
      </c>
      <c r="E288" s="78">
        <v>1.0</v>
      </c>
      <c r="F288" s="78" t="s">
        <v>539</v>
      </c>
      <c r="G288" s="78" t="s">
        <v>519</v>
      </c>
      <c r="H288" s="195">
        <v>46078.0</v>
      </c>
      <c r="I288" s="78" t="s">
        <v>69</v>
      </c>
      <c r="J288" s="79"/>
      <c r="K288" s="21"/>
    </row>
    <row r="289" ht="13.5" customHeight="1">
      <c r="A289" s="194">
        <v>284.0</v>
      </c>
      <c r="B289" s="195">
        <v>46078.0</v>
      </c>
      <c r="C289" s="78">
        <v>87.0</v>
      </c>
      <c r="D289" s="78">
        <v>5.0</v>
      </c>
      <c r="E289" s="78">
        <v>2.0</v>
      </c>
      <c r="F289" s="78" t="s">
        <v>539</v>
      </c>
      <c r="G289" s="78" t="s">
        <v>519</v>
      </c>
      <c r="H289" s="195">
        <v>46078.0</v>
      </c>
      <c r="I289" s="78" t="s">
        <v>69</v>
      </c>
      <c r="J289" s="79"/>
      <c r="K289" s="21"/>
    </row>
    <row r="290" ht="13.5" customHeight="1">
      <c r="A290" s="194">
        <v>285.0</v>
      </c>
      <c r="B290" s="195">
        <v>46078.0</v>
      </c>
      <c r="C290" s="78">
        <v>87.0</v>
      </c>
      <c r="D290" s="78">
        <v>7.0</v>
      </c>
      <c r="E290" s="78">
        <v>2.0</v>
      </c>
      <c r="F290" s="78" t="s">
        <v>539</v>
      </c>
      <c r="G290" s="78" t="s">
        <v>519</v>
      </c>
      <c r="H290" s="195">
        <v>46078.0</v>
      </c>
      <c r="I290" s="78" t="s">
        <v>69</v>
      </c>
      <c r="J290" s="79"/>
      <c r="K290" s="21"/>
    </row>
    <row r="291" ht="13.5" customHeight="1">
      <c r="A291" s="194">
        <v>286.0</v>
      </c>
      <c r="B291" s="195">
        <v>46078.0</v>
      </c>
      <c r="C291" s="78">
        <v>87.0</v>
      </c>
      <c r="D291" s="78">
        <v>8.0</v>
      </c>
      <c r="E291" s="78">
        <v>2.0</v>
      </c>
      <c r="F291" s="78" t="s">
        <v>539</v>
      </c>
      <c r="G291" s="78" t="s">
        <v>519</v>
      </c>
      <c r="H291" s="195">
        <v>46078.0</v>
      </c>
      <c r="I291" s="78" t="s">
        <v>69</v>
      </c>
      <c r="J291" s="79"/>
      <c r="K291" s="21"/>
    </row>
    <row r="292" ht="13.5" customHeight="1">
      <c r="A292" s="194">
        <v>287.0</v>
      </c>
      <c r="B292" s="195">
        <v>46082.29652777778</v>
      </c>
      <c r="C292" s="77">
        <v>59.0</v>
      </c>
      <c r="D292" s="199" t="s">
        <v>426</v>
      </c>
      <c r="E292" s="199" t="s">
        <v>540</v>
      </c>
      <c r="F292" s="199" t="s">
        <v>541</v>
      </c>
      <c r="G292" s="200" t="s">
        <v>542</v>
      </c>
      <c r="H292" s="195">
        <v>46082.345138888886</v>
      </c>
      <c r="I292" s="78" t="s">
        <v>69</v>
      </c>
      <c r="J292" s="79"/>
      <c r="K292" s="21"/>
    </row>
    <row r="293" ht="13.5" customHeight="1">
      <c r="A293" s="194">
        <v>288.0</v>
      </c>
      <c r="B293" s="195">
        <v>46082.37013888889</v>
      </c>
      <c r="C293" s="77">
        <v>5.0</v>
      </c>
      <c r="D293" s="199">
        <v>1.0</v>
      </c>
      <c r="E293" s="199" t="s">
        <v>540</v>
      </c>
      <c r="F293" s="199" t="s">
        <v>480</v>
      </c>
      <c r="G293" s="200" t="s">
        <v>542</v>
      </c>
      <c r="H293" s="195">
        <v>46082.396527777775</v>
      </c>
      <c r="I293" s="78" t="s">
        <v>69</v>
      </c>
      <c r="J293" s="79"/>
      <c r="K293" s="21"/>
    </row>
    <row r="294" ht="13.5" customHeight="1">
      <c r="A294" s="194">
        <v>289.0</v>
      </c>
      <c r="B294" s="195">
        <v>46084.28333333333</v>
      </c>
      <c r="C294" s="77">
        <v>2.0</v>
      </c>
      <c r="D294" s="199" t="s">
        <v>540</v>
      </c>
      <c r="E294" s="199" t="s">
        <v>540</v>
      </c>
      <c r="F294" s="199" t="s">
        <v>543</v>
      </c>
      <c r="G294" s="200" t="s">
        <v>542</v>
      </c>
      <c r="H294" s="195">
        <v>46084.29861111111</v>
      </c>
      <c r="I294" s="78" t="s">
        <v>69</v>
      </c>
      <c r="J294" s="79"/>
      <c r="K294" s="21"/>
    </row>
    <row r="295" ht="13.5" customHeight="1">
      <c r="A295" s="194">
        <v>290.0</v>
      </c>
      <c r="B295" s="195">
        <v>46086.28333333333</v>
      </c>
      <c r="C295" s="77">
        <v>2.0</v>
      </c>
      <c r="D295" s="199" t="s">
        <v>540</v>
      </c>
      <c r="E295" s="199" t="s">
        <v>540</v>
      </c>
      <c r="F295" s="199" t="s">
        <v>543</v>
      </c>
      <c r="G295" s="200" t="s">
        <v>542</v>
      </c>
      <c r="H295" s="195">
        <v>46086.29861111111</v>
      </c>
      <c r="I295" s="78" t="s">
        <v>69</v>
      </c>
      <c r="J295" s="79"/>
      <c r="K295" s="21"/>
    </row>
    <row r="296" ht="13.5" customHeight="1">
      <c r="A296" s="194">
        <v>291.0</v>
      </c>
      <c r="B296" s="195">
        <v>46086.30625</v>
      </c>
      <c r="C296" s="77">
        <v>87.0</v>
      </c>
      <c r="D296" s="199" t="s">
        <v>544</v>
      </c>
      <c r="E296" s="199" t="s">
        <v>545</v>
      </c>
      <c r="F296" s="199" t="s">
        <v>546</v>
      </c>
      <c r="G296" s="200" t="s">
        <v>542</v>
      </c>
      <c r="H296" s="195">
        <v>46086.39791666667</v>
      </c>
      <c r="I296" s="78" t="s">
        <v>69</v>
      </c>
      <c r="J296" s="79"/>
      <c r="K296" s="21"/>
    </row>
    <row r="297" ht="13.5" customHeight="1">
      <c r="A297" s="194">
        <v>292.0</v>
      </c>
      <c r="B297" s="195">
        <v>46086.30763888889</v>
      </c>
      <c r="C297" s="77">
        <v>99.0</v>
      </c>
      <c r="D297" s="199" t="s">
        <v>540</v>
      </c>
      <c r="E297" s="199" t="s">
        <v>540</v>
      </c>
      <c r="F297" s="199" t="s">
        <v>546</v>
      </c>
      <c r="G297" s="200" t="s">
        <v>542</v>
      </c>
      <c r="H297" s="195">
        <v>46086.39236111111</v>
      </c>
      <c r="I297" s="78" t="s">
        <v>69</v>
      </c>
      <c r="J297" s="79"/>
      <c r="K297" s="21"/>
    </row>
    <row r="298" ht="13.5" customHeight="1">
      <c r="A298" s="194">
        <v>293.0</v>
      </c>
      <c r="B298" s="195">
        <v>46086.30972222222</v>
      </c>
      <c r="C298" s="77">
        <v>99.0</v>
      </c>
      <c r="D298" s="199" t="s">
        <v>547</v>
      </c>
      <c r="E298" s="199" t="s">
        <v>548</v>
      </c>
      <c r="F298" s="199" t="s">
        <v>546</v>
      </c>
      <c r="G298" s="200" t="s">
        <v>542</v>
      </c>
      <c r="H298" s="195">
        <v>46086.38888888889</v>
      </c>
      <c r="I298" s="78" t="s">
        <v>69</v>
      </c>
      <c r="J298" s="79"/>
      <c r="K298" s="21"/>
    </row>
    <row r="299" ht="13.5" customHeight="1">
      <c r="A299" s="194">
        <v>294.0</v>
      </c>
      <c r="B299" s="195">
        <v>46086.308333333334</v>
      </c>
      <c r="C299" s="77">
        <v>5.0</v>
      </c>
      <c r="D299" s="199" t="s">
        <v>549</v>
      </c>
      <c r="E299" s="199" t="s">
        <v>540</v>
      </c>
      <c r="F299" s="199" t="s">
        <v>546</v>
      </c>
      <c r="G299" s="200" t="s">
        <v>542</v>
      </c>
      <c r="H299" s="195">
        <v>46086.40555555555</v>
      </c>
      <c r="I299" s="78" t="s">
        <v>69</v>
      </c>
      <c r="J299" s="79"/>
      <c r="K299" s="21"/>
    </row>
    <row r="300" ht="13.5" customHeight="1">
      <c r="A300" s="194">
        <v>295.0</v>
      </c>
      <c r="B300" s="195">
        <v>46088.36041666667</v>
      </c>
      <c r="C300" s="77">
        <v>108.0</v>
      </c>
      <c r="D300" s="199" t="s">
        <v>550</v>
      </c>
      <c r="E300" s="199" t="s">
        <v>540</v>
      </c>
      <c r="F300" s="199" t="s">
        <v>551</v>
      </c>
      <c r="G300" s="200" t="s">
        <v>552</v>
      </c>
      <c r="H300" s="195">
        <v>46088.518055555556</v>
      </c>
      <c r="I300" s="78" t="s">
        <v>69</v>
      </c>
      <c r="J300" s="79"/>
      <c r="K300" s="21"/>
    </row>
    <row r="301" ht="13.5" customHeight="1">
      <c r="A301" s="194">
        <v>296.0</v>
      </c>
      <c r="B301" s="195">
        <v>46088.47152777778</v>
      </c>
      <c r="C301" s="77">
        <v>128.0</v>
      </c>
      <c r="D301" s="199" t="s">
        <v>540</v>
      </c>
      <c r="E301" s="199" t="s">
        <v>540</v>
      </c>
      <c r="F301" s="199" t="s">
        <v>553</v>
      </c>
      <c r="G301" s="200" t="s">
        <v>554</v>
      </c>
      <c r="H301" s="195">
        <v>46088.48055555556</v>
      </c>
      <c r="I301" s="78" t="s">
        <v>69</v>
      </c>
      <c r="J301" s="79"/>
      <c r="K301" s="21"/>
    </row>
    <row r="302" ht="13.5" customHeight="1">
      <c r="A302" s="194">
        <v>297.0</v>
      </c>
      <c r="B302" s="195">
        <v>46090.275</v>
      </c>
      <c r="C302" s="77">
        <v>30.0</v>
      </c>
      <c r="D302" s="199" t="s">
        <v>555</v>
      </c>
      <c r="E302" s="199" t="s">
        <v>548</v>
      </c>
      <c r="F302" s="199" t="s">
        <v>556</v>
      </c>
      <c r="G302" s="200" t="s">
        <v>554</v>
      </c>
      <c r="H302" s="195">
        <v>46090.28611111111</v>
      </c>
      <c r="I302" s="78" t="s">
        <v>69</v>
      </c>
      <c r="J302" s="79"/>
      <c r="K302" s="21"/>
    </row>
    <row r="303" ht="13.5" customHeight="1">
      <c r="A303" s="194">
        <v>298.0</v>
      </c>
      <c r="B303" s="201">
        <v>46091.0</v>
      </c>
      <c r="C303" s="77">
        <v>108.0</v>
      </c>
      <c r="D303" s="199" t="s">
        <v>550</v>
      </c>
      <c r="E303" s="199" t="s">
        <v>540</v>
      </c>
      <c r="F303" s="199" t="s">
        <v>551</v>
      </c>
      <c r="G303" s="200" t="s">
        <v>552</v>
      </c>
      <c r="H303" s="201">
        <v>46092.0</v>
      </c>
      <c r="I303" s="78" t="s">
        <v>69</v>
      </c>
      <c r="J303" s="79"/>
      <c r="K303" s="21"/>
    </row>
    <row r="304" ht="13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</row>
    <row r="305" ht="13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</row>
    <row r="306" ht="13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</row>
    <row r="307" ht="13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</row>
    <row r="308" ht="13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</row>
    <row r="309" ht="13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</row>
    <row r="310" ht="13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</row>
    <row r="311" ht="13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</row>
    <row r="312" ht="13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</row>
    <row r="313" ht="13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</row>
    <row r="314" ht="13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</row>
    <row r="315" ht="13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</row>
    <row r="316" ht="13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</row>
    <row r="317" ht="13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</row>
    <row r="318" ht="13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</row>
    <row r="319" ht="13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</row>
    <row r="320" ht="13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</row>
    <row r="321" ht="13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</row>
    <row r="322" ht="13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</row>
    <row r="323" ht="13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</row>
    <row r="324" ht="13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</row>
    <row r="325" ht="13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</row>
    <row r="326" ht="13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</row>
    <row r="327" ht="13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</row>
    <row r="328" ht="13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</row>
    <row r="329" ht="13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</row>
    <row r="330" ht="13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</row>
    <row r="331" ht="13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</row>
    <row r="332" ht="13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</row>
    <row r="333" ht="13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</row>
    <row r="334" ht="13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</row>
    <row r="335" ht="13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</row>
    <row r="336" ht="13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</row>
    <row r="337" ht="13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</row>
    <row r="338" ht="13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</row>
    <row r="339" ht="13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</row>
    <row r="340" ht="13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</row>
    <row r="341" ht="13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</row>
    <row r="342" ht="13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</row>
    <row r="343" ht="13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</row>
    <row r="344" ht="13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</row>
    <row r="345" ht="13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</row>
    <row r="346" ht="13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</row>
    <row r="347" ht="13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</row>
    <row r="348" ht="13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</row>
    <row r="349" ht="13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</row>
    <row r="350" ht="13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</row>
    <row r="351" ht="13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</row>
    <row r="352" ht="13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</row>
    <row r="353" ht="13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</row>
    <row r="354" ht="13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</row>
    <row r="355" ht="13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</row>
    <row r="356" ht="13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</row>
    <row r="357" ht="13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</row>
    <row r="358" ht="13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</row>
    <row r="359" ht="13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</row>
    <row r="360" ht="13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</row>
    <row r="361" ht="13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</row>
    <row r="362" ht="13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</row>
    <row r="363" ht="13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</row>
    <row r="364" ht="13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</row>
    <row r="365" ht="13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</row>
    <row r="366" ht="13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</row>
    <row r="367" ht="13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</row>
    <row r="368" ht="13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</row>
    <row r="369" ht="13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</row>
    <row r="370" ht="13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</row>
    <row r="371" ht="13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</row>
    <row r="372" ht="13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</row>
    <row r="373" ht="13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</row>
    <row r="374" ht="13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</row>
    <row r="375" ht="13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</row>
    <row r="376" ht="13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</row>
    <row r="377" ht="13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</row>
    <row r="378" ht="13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</row>
    <row r="379" ht="13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</row>
    <row r="380" ht="13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</row>
    <row r="381" ht="13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</row>
    <row r="382" ht="13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</row>
    <row r="383" ht="13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</row>
    <row r="384" ht="13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</row>
    <row r="385" ht="13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</row>
    <row r="386" ht="13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</row>
    <row r="387" ht="13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</row>
    <row r="388" ht="13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</row>
    <row r="389" ht="13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</row>
    <row r="390" ht="13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</row>
    <row r="391" ht="13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</row>
    <row r="392" ht="13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</row>
    <row r="393" ht="13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</row>
    <row r="394" ht="13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</row>
    <row r="395" ht="13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</row>
    <row r="396" ht="13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</row>
    <row r="397" ht="13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</row>
    <row r="398" ht="13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</row>
    <row r="399" ht="13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</row>
    <row r="400" ht="13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</row>
    <row r="401" ht="13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</row>
    <row r="402" ht="13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</row>
    <row r="403" ht="13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</row>
    <row r="404" ht="13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</row>
    <row r="405" ht="13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</row>
    <row r="406" ht="13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</row>
    <row r="407" ht="13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</row>
    <row r="408" ht="13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</row>
    <row r="409" ht="13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</row>
    <row r="410" ht="13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</row>
    <row r="411" ht="13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</row>
    <row r="412" ht="13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</row>
    <row r="413" ht="13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</row>
    <row r="414" ht="13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</row>
    <row r="415" ht="13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</row>
    <row r="416" ht="13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</row>
    <row r="417" ht="13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</row>
    <row r="418" ht="13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</row>
    <row r="419" ht="13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</row>
    <row r="420" ht="13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</row>
    <row r="421" ht="13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</row>
    <row r="422" ht="13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</row>
    <row r="423" ht="13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</row>
    <row r="424" ht="13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</row>
    <row r="425" ht="13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</row>
    <row r="426" ht="13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</row>
    <row r="427" ht="13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</row>
    <row r="428" ht="13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</row>
    <row r="429" ht="13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</row>
    <row r="430" ht="13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</row>
    <row r="431" ht="13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</row>
    <row r="432" ht="13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</row>
    <row r="433" ht="13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</row>
    <row r="434" ht="13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</row>
    <row r="435" ht="13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</row>
    <row r="436" ht="13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</row>
    <row r="437" ht="13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</row>
    <row r="438" ht="13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</row>
    <row r="439" ht="13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</row>
    <row r="440" ht="13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</row>
    <row r="441" ht="13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</row>
    <row r="442" ht="13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</row>
    <row r="443" ht="13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</row>
    <row r="444" ht="13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</row>
    <row r="445" ht="13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</row>
    <row r="446" ht="13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</row>
    <row r="447" ht="13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</row>
    <row r="448" ht="13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</row>
    <row r="449" ht="13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</row>
    <row r="450" ht="13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</row>
    <row r="451" ht="13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</row>
    <row r="452" ht="13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</row>
    <row r="453" ht="13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</row>
    <row r="454" ht="13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</row>
    <row r="455" ht="13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</row>
    <row r="456" ht="13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</row>
    <row r="457" ht="13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</row>
    <row r="458" ht="13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</row>
    <row r="459" ht="13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</row>
    <row r="460" ht="13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</row>
    <row r="461" ht="13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</row>
    <row r="462" ht="13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</row>
    <row r="463" ht="13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</row>
    <row r="464" ht="13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</row>
    <row r="465" ht="13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</row>
    <row r="466" ht="13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</row>
    <row r="467" ht="13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</row>
    <row r="468" ht="13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</row>
    <row r="469" ht="13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</row>
    <row r="470" ht="13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</row>
    <row r="471" ht="13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</row>
    <row r="472" ht="13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</row>
    <row r="473" ht="13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</row>
    <row r="474" ht="13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</row>
    <row r="475" ht="13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</row>
    <row r="476" ht="13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</row>
    <row r="477" ht="13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</row>
    <row r="478" ht="13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</row>
    <row r="479" ht="13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</row>
    <row r="480" ht="13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</row>
    <row r="481" ht="13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D1:F1"/>
    <mergeCell ref="A2:C2"/>
    <mergeCell ref="D2:F2"/>
    <mergeCell ref="A3:C3"/>
    <mergeCell ref="D3:F3"/>
  </mergeCells>
  <conditionalFormatting sqref="I1:I481">
    <cfRule type="containsText" dxfId="5" priority="1" operator="containsText" text="Done">
      <formula>NOT(ISERROR(SEARCH(("Done"),(I1))))</formula>
    </cfRule>
  </conditionalFormatting>
  <conditionalFormatting sqref="I1:I491">
    <cfRule type="containsText" dxfId="5" priority="2" operator="containsText" text="Done">
      <formula>NOT(ISERROR(SEARCH(("Done"),(I1))))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4.13"/>
    <col customWidth="1" min="3" max="3" width="13.13"/>
    <col customWidth="1" min="4" max="4" width="10.38"/>
    <col customWidth="1" min="5" max="5" width="17.38"/>
    <col customWidth="1" min="6" max="6" width="20.13"/>
    <col customWidth="1" min="7" max="7" width="18.75"/>
    <col customWidth="1" min="8" max="8" width="11.38"/>
    <col customWidth="1" min="9" max="9" width="34.88"/>
    <col customWidth="1" min="10" max="11" width="12.75"/>
    <col customWidth="1" min="12" max="26" width="14.38"/>
  </cols>
  <sheetData>
    <row r="1" ht="13.5" customHeight="1">
      <c r="A1" s="133" t="s">
        <v>284</v>
      </c>
      <c r="B1" s="4"/>
      <c r="C1" s="202">
        <v>270.0</v>
      </c>
      <c r="D1" s="4"/>
      <c r="E1" s="125"/>
      <c r="F1" s="125"/>
      <c r="G1" s="125"/>
      <c r="H1" s="125"/>
      <c r="I1" s="125"/>
      <c r="J1" s="21"/>
      <c r="K1" s="21"/>
    </row>
    <row r="2" ht="13.5" customHeight="1">
      <c r="A2" s="133" t="s">
        <v>285</v>
      </c>
      <c r="B2" s="4"/>
      <c r="C2" s="132">
        <f>C1-C3</f>
        <v>270</v>
      </c>
      <c r="D2" s="4"/>
      <c r="E2" s="125"/>
      <c r="F2" s="125"/>
      <c r="G2" s="125"/>
      <c r="H2" s="125"/>
      <c r="I2" s="125"/>
      <c r="J2" s="21"/>
      <c r="K2" s="21"/>
    </row>
    <row r="3" ht="13.5" customHeight="1">
      <c r="A3" s="133" t="s">
        <v>286</v>
      </c>
      <c r="B3" s="4"/>
      <c r="C3" s="132">
        <f>COUNTIF(H5:H499986,"Pending")</f>
        <v>0</v>
      </c>
      <c r="D3" s="4"/>
      <c r="E3" s="125"/>
      <c r="F3" s="125"/>
      <c r="G3" s="125"/>
      <c r="H3" s="125"/>
      <c r="I3" s="125"/>
      <c r="J3" s="21"/>
      <c r="K3" s="21"/>
    </row>
    <row r="4" ht="30.0" customHeight="1">
      <c r="A4" s="137" t="s">
        <v>287</v>
      </c>
      <c r="B4" s="137" t="s">
        <v>218</v>
      </c>
      <c r="C4" s="137" t="s">
        <v>288</v>
      </c>
      <c r="D4" s="137" t="s">
        <v>289</v>
      </c>
      <c r="E4" s="137" t="s">
        <v>557</v>
      </c>
      <c r="F4" s="137" t="s">
        <v>291</v>
      </c>
      <c r="G4" s="137" t="s">
        <v>292</v>
      </c>
      <c r="H4" s="203" t="s">
        <v>122</v>
      </c>
      <c r="I4" s="137" t="s">
        <v>293</v>
      </c>
      <c r="J4" s="21"/>
      <c r="K4" s="21"/>
    </row>
    <row r="5" ht="13.5" customHeight="1">
      <c r="A5" s="90">
        <v>1.0</v>
      </c>
      <c r="B5" s="90" t="s">
        <v>558</v>
      </c>
      <c r="C5" s="93">
        <v>2.0</v>
      </c>
      <c r="D5" s="93">
        <v>35.0</v>
      </c>
      <c r="E5" s="90">
        <v>15.0</v>
      </c>
      <c r="F5" s="90" t="s">
        <v>559</v>
      </c>
      <c r="G5" s="90" t="s">
        <v>560</v>
      </c>
      <c r="H5" s="92" t="s">
        <v>561</v>
      </c>
      <c r="I5" s="90"/>
      <c r="J5" s="21"/>
      <c r="K5" s="21"/>
    </row>
    <row r="6" ht="13.5" customHeight="1">
      <c r="A6" s="90">
        <v>2.0</v>
      </c>
      <c r="B6" s="90" t="s">
        <v>558</v>
      </c>
      <c r="C6" s="93">
        <v>3.0</v>
      </c>
      <c r="D6" s="93">
        <v>3.0</v>
      </c>
      <c r="E6" s="90">
        <v>5.0</v>
      </c>
      <c r="F6" s="90" t="s">
        <v>559</v>
      </c>
      <c r="G6" s="90" t="s">
        <v>562</v>
      </c>
      <c r="H6" s="92" t="s">
        <v>561</v>
      </c>
      <c r="I6" s="90"/>
      <c r="J6" s="21"/>
      <c r="K6" s="21"/>
    </row>
    <row r="7" ht="13.5" customHeight="1">
      <c r="A7" s="90">
        <v>3.0</v>
      </c>
      <c r="B7" s="90" t="s">
        <v>558</v>
      </c>
      <c r="C7" s="93">
        <v>8.0</v>
      </c>
      <c r="D7" s="93">
        <v>30.0</v>
      </c>
      <c r="E7" s="90">
        <v>10.0</v>
      </c>
      <c r="F7" s="90" t="s">
        <v>559</v>
      </c>
      <c r="G7" s="90" t="s">
        <v>562</v>
      </c>
      <c r="H7" s="92" t="s">
        <v>561</v>
      </c>
      <c r="I7" s="90"/>
      <c r="J7" s="21"/>
      <c r="K7" s="21"/>
    </row>
    <row r="8" ht="13.5" customHeight="1">
      <c r="A8" s="90">
        <v>4.0</v>
      </c>
      <c r="B8" s="90" t="s">
        <v>558</v>
      </c>
      <c r="C8" s="93">
        <v>13.0</v>
      </c>
      <c r="D8" s="93">
        <v>28.0</v>
      </c>
      <c r="E8" s="90">
        <v>9.0</v>
      </c>
      <c r="F8" s="92" t="s">
        <v>314</v>
      </c>
      <c r="G8" s="144">
        <v>45995.0</v>
      </c>
      <c r="H8" s="92" t="s">
        <v>561</v>
      </c>
      <c r="I8" s="90" t="s">
        <v>563</v>
      </c>
      <c r="J8" s="21"/>
      <c r="K8" s="21"/>
    </row>
    <row r="9" ht="13.5" customHeight="1">
      <c r="A9" s="90">
        <v>5.0</v>
      </c>
      <c r="B9" s="90" t="s">
        <v>558</v>
      </c>
      <c r="C9" s="93">
        <v>17.0</v>
      </c>
      <c r="D9" s="93">
        <v>27.0</v>
      </c>
      <c r="E9" s="90">
        <v>12.0</v>
      </c>
      <c r="F9" s="90" t="s">
        <v>559</v>
      </c>
      <c r="G9" s="90" t="s">
        <v>564</v>
      </c>
      <c r="H9" s="92" t="s">
        <v>561</v>
      </c>
      <c r="I9" s="90"/>
      <c r="J9" s="21"/>
      <c r="K9" s="21"/>
    </row>
    <row r="10" ht="13.5" customHeight="1">
      <c r="A10" s="90">
        <v>6.0</v>
      </c>
      <c r="B10" s="90" t="s">
        <v>558</v>
      </c>
      <c r="C10" s="93">
        <v>25.0</v>
      </c>
      <c r="D10" s="93">
        <v>20.0</v>
      </c>
      <c r="E10" s="90">
        <v>16.0</v>
      </c>
      <c r="F10" s="90" t="s">
        <v>559</v>
      </c>
      <c r="G10" s="90" t="s">
        <v>565</v>
      </c>
      <c r="H10" s="92" t="s">
        <v>561</v>
      </c>
      <c r="I10" s="90"/>
      <c r="J10" s="21"/>
      <c r="K10" s="21"/>
    </row>
    <row r="11" ht="13.5" customHeight="1">
      <c r="A11" s="90">
        <v>7.0</v>
      </c>
      <c r="B11" s="90" t="s">
        <v>558</v>
      </c>
      <c r="C11" s="93">
        <v>30.0</v>
      </c>
      <c r="D11" s="93">
        <v>23.0</v>
      </c>
      <c r="E11" s="90">
        <v>9.0</v>
      </c>
      <c r="F11" s="90" t="s">
        <v>566</v>
      </c>
      <c r="G11" s="90" t="s">
        <v>562</v>
      </c>
      <c r="H11" s="92" t="s">
        <v>561</v>
      </c>
      <c r="I11" s="90"/>
      <c r="J11" s="21"/>
      <c r="K11" s="21"/>
    </row>
    <row r="12" ht="13.5" customHeight="1">
      <c r="A12" s="90">
        <v>8.0</v>
      </c>
      <c r="B12" s="90" t="s">
        <v>558</v>
      </c>
      <c r="C12" s="93">
        <v>32.0</v>
      </c>
      <c r="D12" s="93">
        <v>18.0</v>
      </c>
      <c r="E12" s="90">
        <v>15.0</v>
      </c>
      <c r="F12" s="90" t="s">
        <v>559</v>
      </c>
      <c r="G12" s="90" t="s">
        <v>567</v>
      </c>
      <c r="H12" s="92" t="s">
        <v>561</v>
      </c>
      <c r="I12" s="90" t="s">
        <v>563</v>
      </c>
      <c r="J12" s="21"/>
      <c r="K12" s="21"/>
    </row>
    <row r="13" ht="13.5" customHeight="1">
      <c r="A13" s="90">
        <v>9.0</v>
      </c>
      <c r="B13" s="90" t="s">
        <v>558</v>
      </c>
      <c r="C13" s="93">
        <v>34.0</v>
      </c>
      <c r="D13" s="93">
        <v>10.0</v>
      </c>
      <c r="E13" s="90">
        <v>11.0</v>
      </c>
      <c r="F13" s="90" t="s">
        <v>566</v>
      </c>
      <c r="G13" s="90" t="s">
        <v>567</v>
      </c>
      <c r="H13" s="92" t="s">
        <v>561</v>
      </c>
      <c r="I13" s="90"/>
      <c r="J13" s="21"/>
      <c r="K13" s="21"/>
    </row>
    <row r="14" ht="13.5" customHeight="1">
      <c r="A14" s="90">
        <v>10.0</v>
      </c>
      <c r="B14" s="90" t="s">
        <v>558</v>
      </c>
      <c r="C14" s="93">
        <v>34.0</v>
      </c>
      <c r="D14" s="93">
        <v>32.0</v>
      </c>
      <c r="E14" s="90">
        <v>9.0</v>
      </c>
      <c r="F14" s="90" t="s">
        <v>559</v>
      </c>
      <c r="G14" s="90" t="s">
        <v>567</v>
      </c>
      <c r="H14" s="92" t="s">
        <v>561</v>
      </c>
      <c r="I14" s="90" t="s">
        <v>563</v>
      </c>
      <c r="J14" s="21"/>
      <c r="K14" s="21"/>
    </row>
    <row r="15" ht="13.5" customHeight="1">
      <c r="A15" s="90">
        <v>11.0</v>
      </c>
      <c r="B15" s="90" t="s">
        <v>558</v>
      </c>
      <c r="C15" s="93">
        <v>36.0</v>
      </c>
      <c r="D15" s="93">
        <v>16.0</v>
      </c>
      <c r="E15" s="90">
        <v>9.0</v>
      </c>
      <c r="F15" s="92" t="s">
        <v>314</v>
      </c>
      <c r="G15" s="144">
        <v>45996.0</v>
      </c>
      <c r="H15" s="92" t="s">
        <v>561</v>
      </c>
      <c r="I15" s="90" t="s">
        <v>568</v>
      </c>
      <c r="J15" s="21"/>
      <c r="K15" s="21"/>
    </row>
    <row r="16" ht="13.5" customHeight="1">
      <c r="A16" s="90">
        <v>12.0</v>
      </c>
      <c r="B16" s="90" t="s">
        <v>558</v>
      </c>
      <c r="C16" s="93">
        <v>41.0</v>
      </c>
      <c r="D16" s="93">
        <v>23.0</v>
      </c>
      <c r="E16" s="90">
        <v>7.0</v>
      </c>
      <c r="F16" s="90" t="s">
        <v>566</v>
      </c>
      <c r="G16" s="90" t="s">
        <v>567</v>
      </c>
      <c r="H16" s="92" t="s">
        <v>561</v>
      </c>
      <c r="I16" s="90"/>
      <c r="J16" s="21"/>
      <c r="K16" s="21"/>
    </row>
    <row r="17" ht="13.5" customHeight="1">
      <c r="A17" s="90">
        <v>13.0</v>
      </c>
      <c r="B17" s="90" t="s">
        <v>558</v>
      </c>
      <c r="C17" s="93">
        <v>43.0</v>
      </c>
      <c r="D17" s="93">
        <v>29.0</v>
      </c>
      <c r="E17" s="90">
        <v>9.0</v>
      </c>
      <c r="F17" s="92" t="s">
        <v>569</v>
      </c>
      <c r="G17" s="144">
        <v>45997.0</v>
      </c>
      <c r="H17" s="92" t="s">
        <v>561</v>
      </c>
      <c r="I17" s="90" t="s">
        <v>568</v>
      </c>
      <c r="J17" s="21"/>
      <c r="K17" s="21"/>
    </row>
    <row r="18" ht="13.5" customHeight="1">
      <c r="A18" s="90">
        <v>14.0</v>
      </c>
      <c r="B18" s="90" t="s">
        <v>558</v>
      </c>
      <c r="C18" s="93">
        <v>46.0</v>
      </c>
      <c r="D18" s="93">
        <v>17.0</v>
      </c>
      <c r="E18" s="90">
        <v>13.0</v>
      </c>
      <c r="F18" s="90" t="s">
        <v>566</v>
      </c>
      <c r="G18" s="90" t="s">
        <v>567</v>
      </c>
      <c r="H18" s="92" t="s">
        <v>561</v>
      </c>
      <c r="I18" s="90"/>
      <c r="J18" s="21"/>
      <c r="K18" s="21"/>
    </row>
    <row r="19" ht="13.5" customHeight="1">
      <c r="A19" s="90">
        <v>15.0</v>
      </c>
      <c r="B19" s="90" t="s">
        <v>558</v>
      </c>
      <c r="C19" s="93">
        <v>46.0</v>
      </c>
      <c r="D19" s="93">
        <v>23.0</v>
      </c>
      <c r="E19" s="90">
        <v>1.0</v>
      </c>
      <c r="F19" s="90" t="s">
        <v>566</v>
      </c>
      <c r="G19" s="90" t="s">
        <v>567</v>
      </c>
      <c r="H19" s="92" t="s">
        <v>561</v>
      </c>
      <c r="I19" s="90"/>
      <c r="J19" s="21"/>
      <c r="K19" s="21"/>
    </row>
    <row r="20" ht="13.5" customHeight="1">
      <c r="A20" s="90">
        <v>16.0</v>
      </c>
      <c r="B20" s="90" t="s">
        <v>558</v>
      </c>
      <c r="C20" s="93">
        <v>47.0</v>
      </c>
      <c r="D20" s="93">
        <v>27.0</v>
      </c>
      <c r="E20" s="90">
        <v>11.0</v>
      </c>
      <c r="F20" s="90" t="s">
        <v>566</v>
      </c>
      <c r="G20" s="90" t="s">
        <v>567</v>
      </c>
      <c r="H20" s="92" t="s">
        <v>561</v>
      </c>
      <c r="I20" s="90"/>
      <c r="J20" s="21"/>
      <c r="K20" s="21"/>
    </row>
    <row r="21" ht="13.5" customHeight="1">
      <c r="A21" s="90">
        <v>17.0</v>
      </c>
      <c r="B21" s="90" t="s">
        <v>558</v>
      </c>
      <c r="C21" s="93">
        <v>47.0</v>
      </c>
      <c r="D21" s="93">
        <v>32.0</v>
      </c>
      <c r="E21" s="90">
        <v>5.0</v>
      </c>
      <c r="F21" s="92" t="s">
        <v>314</v>
      </c>
      <c r="G21" s="144">
        <v>45995.0</v>
      </c>
      <c r="H21" s="92" t="s">
        <v>561</v>
      </c>
      <c r="I21" s="90" t="s">
        <v>568</v>
      </c>
      <c r="J21" s="21"/>
      <c r="K21" s="21"/>
    </row>
    <row r="22" ht="13.5" customHeight="1">
      <c r="A22" s="90">
        <v>18.0</v>
      </c>
      <c r="B22" s="90" t="s">
        <v>558</v>
      </c>
      <c r="C22" s="93">
        <v>52.0</v>
      </c>
      <c r="D22" s="93">
        <v>24.0</v>
      </c>
      <c r="E22" s="90">
        <v>6.0</v>
      </c>
      <c r="F22" s="90" t="s">
        <v>566</v>
      </c>
      <c r="G22" s="90" t="s">
        <v>567</v>
      </c>
      <c r="H22" s="92" t="s">
        <v>561</v>
      </c>
      <c r="I22" s="90"/>
      <c r="J22" s="21"/>
      <c r="K22" s="21"/>
    </row>
    <row r="23" ht="13.5" customHeight="1">
      <c r="A23" s="90">
        <v>19.0</v>
      </c>
      <c r="B23" s="90" t="s">
        <v>558</v>
      </c>
      <c r="C23" s="93">
        <v>54.0</v>
      </c>
      <c r="D23" s="93">
        <v>4.0</v>
      </c>
      <c r="E23" s="90">
        <v>13.0</v>
      </c>
      <c r="F23" s="90" t="s">
        <v>566</v>
      </c>
      <c r="G23" s="90" t="s">
        <v>567</v>
      </c>
      <c r="H23" s="92" t="s">
        <v>561</v>
      </c>
      <c r="I23" s="90"/>
      <c r="J23" s="21"/>
      <c r="K23" s="21"/>
    </row>
    <row r="24" ht="13.5" customHeight="1">
      <c r="A24" s="90">
        <v>20.0</v>
      </c>
      <c r="B24" s="90" t="s">
        <v>558</v>
      </c>
      <c r="C24" s="93">
        <v>58.0</v>
      </c>
      <c r="D24" s="93">
        <v>27.0</v>
      </c>
      <c r="E24" s="90">
        <v>12.0</v>
      </c>
      <c r="F24" s="90" t="s">
        <v>559</v>
      </c>
      <c r="G24" s="90" t="s">
        <v>570</v>
      </c>
      <c r="H24" s="92" t="s">
        <v>561</v>
      </c>
      <c r="I24" s="90"/>
      <c r="J24" s="21"/>
      <c r="K24" s="21"/>
    </row>
    <row r="25" ht="13.5" customHeight="1">
      <c r="A25" s="90">
        <v>21.0</v>
      </c>
      <c r="B25" s="90" t="s">
        <v>558</v>
      </c>
      <c r="C25" s="93">
        <v>66.0</v>
      </c>
      <c r="D25" s="93">
        <v>16.0</v>
      </c>
      <c r="E25" s="90">
        <v>1.0</v>
      </c>
      <c r="F25" s="90" t="s">
        <v>559</v>
      </c>
      <c r="G25" s="90" t="s">
        <v>570</v>
      </c>
      <c r="H25" s="92" t="s">
        <v>561</v>
      </c>
      <c r="I25" s="90"/>
      <c r="J25" s="21"/>
      <c r="K25" s="21"/>
    </row>
    <row r="26" ht="13.5" customHeight="1">
      <c r="A26" s="90">
        <v>22.0</v>
      </c>
      <c r="B26" s="90" t="s">
        <v>558</v>
      </c>
      <c r="C26" s="93">
        <v>66.0</v>
      </c>
      <c r="D26" s="93">
        <v>16.0</v>
      </c>
      <c r="E26" s="90">
        <v>2.0</v>
      </c>
      <c r="F26" s="90" t="s">
        <v>559</v>
      </c>
      <c r="G26" s="90" t="s">
        <v>570</v>
      </c>
      <c r="H26" s="92" t="s">
        <v>561</v>
      </c>
      <c r="I26" s="90"/>
      <c r="J26" s="21"/>
      <c r="K26" s="21"/>
    </row>
    <row r="27" ht="13.5" customHeight="1">
      <c r="A27" s="90">
        <v>23.0</v>
      </c>
      <c r="B27" s="90" t="s">
        <v>558</v>
      </c>
      <c r="C27" s="93">
        <v>67.0</v>
      </c>
      <c r="D27" s="93">
        <v>3.0</v>
      </c>
      <c r="E27" s="90">
        <v>9.0</v>
      </c>
      <c r="F27" s="90" t="s">
        <v>559</v>
      </c>
      <c r="G27" s="90" t="s">
        <v>570</v>
      </c>
      <c r="H27" s="92" t="s">
        <v>561</v>
      </c>
      <c r="I27" s="90"/>
      <c r="J27" s="21"/>
      <c r="K27" s="21"/>
    </row>
    <row r="28" ht="13.5" customHeight="1">
      <c r="A28" s="90">
        <v>24.0</v>
      </c>
      <c r="B28" s="90" t="s">
        <v>558</v>
      </c>
      <c r="C28" s="93">
        <v>69.0</v>
      </c>
      <c r="D28" s="93">
        <v>29.0</v>
      </c>
      <c r="E28" s="90">
        <v>7.0</v>
      </c>
      <c r="F28" s="90" t="s">
        <v>559</v>
      </c>
      <c r="G28" s="90" t="s">
        <v>570</v>
      </c>
      <c r="H28" s="92" t="s">
        <v>561</v>
      </c>
      <c r="I28" s="90"/>
      <c r="J28" s="21"/>
      <c r="K28" s="21"/>
    </row>
    <row r="29" ht="13.5" customHeight="1">
      <c r="A29" s="90">
        <v>25.0</v>
      </c>
      <c r="B29" s="90" t="s">
        <v>558</v>
      </c>
      <c r="C29" s="93">
        <v>72.0</v>
      </c>
      <c r="D29" s="93">
        <v>3.0</v>
      </c>
      <c r="E29" s="90">
        <v>16.0</v>
      </c>
      <c r="F29" s="92" t="s">
        <v>571</v>
      </c>
      <c r="G29" s="204">
        <v>45881.0</v>
      </c>
      <c r="H29" s="92" t="s">
        <v>561</v>
      </c>
      <c r="I29" s="90" t="s">
        <v>572</v>
      </c>
      <c r="J29" s="21"/>
      <c r="K29" s="21"/>
    </row>
    <row r="30" ht="13.5" customHeight="1">
      <c r="A30" s="90">
        <v>26.0</v>
      </c>
      <c r="B30" s="90" t="s">
        <v>558</v>
      </c>
      <c r="C30" s="93">
        <v>73.0</v>
      </c>
      <c r="D30" s="93">
        <v>2.0</v>
      </c>
      <c r="E30" s="90">
        <v>3.0</v>
      </c>
      <c r="F30" s="92" t="s">
        <v>314</v>
      </c>
      <c r="G30" s="144">
        <v>45995.0</v>
      </c>
      <c r="H30" s="92" t="s">
        <v>561</v>
      </c>
      <c r="I30" s="90" t="s">
        <v>572</v>
      </c>
      <c r="J30" s="21"/>
      <c r="K30" s="21"/>
    </row>
    <row r="31" ht="13.5" customHeight="1">
      <c r="A31" s="90">
        <v>27.0</v>
      </c>
      <c r="B31" s="90" t="s">
        <v>558</v>
      </c>
      <c r="C31" s="93">
        <v>78.0</v>
      </c>
      <c r="D31" s="93">
        <v>22.0</v>
      </c>
      <c r="E31" s="90">
        <v>4.0</v>
      </c>
      <c r="F31" s="90" t="s">
        <v>559</v>
      </c>
      <c r="G31" s="90" t="s">
        <v>570</v>
      </c>
      <c r="H31" s="92" t="s">
        <v>561</v>
      </c>
      <c r="I31" s="90"/>
      <c r="J31" s="21"/>
      <c r="K31" s="21"/>
    </row>
    <row r="32" ht="13.5" customHeight="1">
      <c r="A32" s="90">
        <v>28.0</v>
      </c>
      <c r="B32" s="90" t="s">
        <v>558</v>
      </c>
      <c r="C32" s="93">
        <v>79.0</v>
      </c>
      <c r="D32" s="93">
        <v>28.0</v>
      </c>
      <c r="E32" s="90">
        <v>16.0</v>
      </c>
      <c r="F32" s="90" t="s">
        <v>559</v>
      </c>
      <c r="G32" s="90" t="s">
        <v>570</v>
      </c>
      <c r="H32" s="92" t="s">
        <v>561</v>
      </c>
      <c r="I32" s="90"/>
      <c r="J32" s="21"/>
      <c r="K32" s="21"/>
    </row>
    <row r="33" ht="13.5" customHeight="1">
      <c r="A33" s="90">
        <v>29.0</v>
      </c>
      <c r="B33" s="90" t="s">
        <v>558</v>
      </c>
      <c r="C33" s="93">
        <v>80.0</v>
      </c>
      <c r="D33" s="93">
        <v>1.0</v>
      </c>
      <c r="E33" s="90">
        <v>8.0</v>
      </c>
      <c r="F33" s="90" t="s">
        <v>559</v>
      </c>
      <c r="G33" s="90" t="s">
        <v>562</v>
      </c>
      <c r="H33" s="92" t="s">
        <v>561</v>
      </c>
      <c r="I33" s="90"/>
      <c r="J33" s="21"/>
      <c r="K33" s="21"/>
    </row>
    <row r="34" ht="13.5" customHeight="1">
      <c r="A34" s="90">
        <v>30.0</v>
      </c>
      <c r="B34" s="90" t="s">
        <v>558</v>
      </c>
      <c r="C34" s="93">
        <v>83.0</v>
      </c>
      <c r="D34" s="93">
        <v>29.0</v>
      </c>
      <c r="E34" s="90">
        <v>7.0</v>
      </c>
      <c r="F34" s="90" t="s">
        <v>559</v>
      </c>
      <c r="G34" s="90" t="s">
        <v>573</v>
      </c>
      <c r="H34" s="92" t="s">
        <v>561</v>
      </c>
      <c r="I34" s="90"/>
      <c r="J34" s="21"/>
      <c r="K34" s="21"/>
    </row>
    <row r="35" ht="13.5" customHeight="1">
      <c r="A35" s="90">
        <v>31.0</v>
      </c>
      <c r="B35" s="90" t="s">
        <v>574</v>
      </c>
      <c r="C35" s="93">
        <v>83.0</v>
      </c>
      <c r="D35" s="93">
        <v>30.0</v>
      </c>
      <c r="E35" s="90">
        <v>3.0</v>
      </c>
      <c r="F35" s="90" t="s">
        <v>559</v>
      </c>
      <c r="G35" s="90" t="s">
        <v>573</v>
      </c>
      <c r="H35" s="92" t="s">
        <v>561</v>
      </c>
      <c r="I35" s="90"/>
      <c r="J35" s="21"/>
      <c r="K35" s="21"/>
    </row>
    <row r="36" ht="13.5" customHeight="1">
      <c r="A36" s="90">
        <v>32.0</v>
      </c>
      <c r="B36" s="90" t="s">
        <v>574</v>
      </c>
      <c r="C36" s="93">
        <v>83.0</v>
      </c>
      <c r="D36" s="93">
        <v>32.0</v>
      </c>
      <c r="E36" s="90">
        <v>13.0</v>
      </c>
      <c r="F36" s="90" t="s">
        <v>559</v>
      </c>
      <c r="G36" s="90" t="s">
        <v>573</v>
      </c>
      <c r="H36" s="92" t="s">
        <v>561</v>
      </c>
      <c r="I36" s="90"/>
      <c r="J36" s="21"/>
      <c r="K36" s="21"/>
    </row>
    <row r="37" ht="13.5" customHeight="1">
      <c r="A37" s="90">
        <v>33.0</v>
      </c>
      <c r="B37" s="90" t="s">
        <v>574</v>
      </c>
      <c r="C37" s="93">
        <v>84.0</v>
      </c>
      <c r="D37" s="93">
        <v>1.0</v>
      </c>
      <c r="E37" s="90">
        <v>4.0</v>
      </c>
      <c r="F37" s="90" t="s">
        <v>559</v>
      </c>
      <c r="G37" s="90" t="s">
        <v>562</v>
      </c>
      <c r="H37" s="92" t="s">
        <v>561</v>
      </c>
      <c r="I37" s="90"/>
      <c r="J37" s="21"/>
      <c r="K37" s="21"/>
    </row>
    <row r="38" ht="13.5" customHeight="1">
      <c r="A38" s="90">
        <v>34.0</v>
      </c>
      <c r="B38" s="90" t="s">
        <v>574</v>
      </c>
      <c r="C38" s="93">
        <v>84.0</v>
      </c>
      <c r="D38" s="93">
        <v>3.0</v>
      </c>
      <c r="E38" s="90">
        <v>3.0</v>
      </c>
      <c r="F38" s="90" t="s">
        <v>559</v>
      </c>
      <c r="G38" s="90" t="s">
        <v>562</v>
      </c>
      <c r="H38" s="92" t="s">
        <v>561</v>
      </c>
      <c r="I38" s="90"/>
      <c r="J38" s="21"/>
      <c r="K38" s="21"/>
    </row>
    <row r="39" ht="13.5" customHeight="1">
      <c r="A39" s="90">
        <v>35.0</v>
      </c>
      <c r="B39" s="90" t="s">
        <v>574</v>
      </c>
      <c r="C39" s="93">
        <v>84.0</v>
      </c>
      <c r="D39" s="93">
        <v>3.0</v>
      </c>
      <c r="E39" s="90">
        <v>15.0</v>
      </c>
      <c r="F39" s="90" t="s">
        <v>559</v>
      </c>
      <c r="G39" s="90" t="s">
        <v>562</v>
      </c>
      <c r="H39" s="92" t="s">
        <v>561</v>
      </c>
      <c r="I39" s="90"/>
      <c r="J39" s="21"/>
      <c r="K39" s="21"/>
    </row>
    <row r="40" ht="13.5" customHeight="1">
      <c r="A40" s="90">
        <v>36.0</v>
      </c>
      <c r="B40" s="90" t="s">
        <v>574</v>
      </c>
      <c r="C40" s="93">
        <v>84.0</v>
      </c>
      <c r="D40" s="93">
        <v>3.0</v>
      </c>
      <c r="E40" s="90">
        <v>16.0</v>
      </c>
      <c r="F40" s="90" t="s">
        <v>559</v>
      </c>
      <c r="G40" s="90" t="s">
        <v>562</v>
      </c>
      <c r="H40" s="92" t="s">
        <v>561</v>
      </c>
      <c r="I40" s="90"/>
      <c r="J40" s="21"/>
      <c r="K40" s="21"/>
    </row>
    <row r="41" ht="13.5" customHeight="1">
      <c r="A41" s="90">
        <v>37.0</v>
      </c>
      <c r="B41" s="90" t="s">
        <v>574</v>
      </c>
      <c r="C41" s="93">
        <v>84.0</v>
      </c>
      <c r="D41" s="93">
        <v>32.0</v>
      </c>
      <c r="E41" s="90">
        <v>2.0</v>
      </c>
      <c r="F41" s="90" t="s">
        <v>559</v>
      </c>
      <c r="G41" s="90" t="s">
        <v>562</v>
      </c>
      <c r="H41" s="92" t="s">
        <v>561</v>
      </c>
      <c r="I41" s="90"/>
      <c r="J41" s="21"/>
      <c r="K41" s="21"/>
    </row>
    <row r="42" ht="13.5" customHeight="1">
      <c r="A42" s="90">
        <v>38.0</v>
      </c>
      <c r="B42" s="90" t="s">
        <v>574</v>
      </c>
      <c r="C42" s="93">
        <v>85.0</v>
      </c>
      <c r="D42" s="93">
        <v>9.0</v>
      </c>
      <c r="E42" s="90">
        <v>9.0</v>
      </c>
      <c r="F42" s="92" t="s">
        <v>314</v>
      </c>
      <c r="G42" s="144">
        <v>45995.0</v>
      </c>
      <c r="H42" s="92" t="s">
        <v>561</v>
      </c>
      <c r="I42" s="90" t="s">
        <v>572</v>
      </c>
      <c r="J42" s="21"/>
      <c r="K42" s="21"/>
    </row>
    <row r="43" ht="13.5" customHeight="1">
      <c r="A43" s="90">
        <v>39.0</v>
      </c>
      <c r="B43" s="90" t="s">
        <v>574</v>
      </c>
      <c r="C43" s="93">
        <v>85.0</v>
      </c>
      <c r="D43" s="93">
        <v>10.0</v>
      </c>
      <c r="E43" s="90">
        <v>2.0</v>
      </c>
      <c r="F43" s="90" t="s">
        <v>559</v>
      </c>
      <c r="G43" s="90" t="s">
        <v>562</v>
      </c>
      <c r="H43" s="92" t="s">
        <v>561</v>
      </c>
      <c r="I43" s="90"/>
      <c r="J43" s="21"/>
      <c r="K43" s="21"/>
    </row>
    <row r="44" ht="13.5" customHeight="1">
      <c r="A44" s="90">
        <v>40.0</v>
      </c>
      <c r="B44" s="90" t="s">
        <v>575</v>
      </c>
      <c r="C44" s="93">
        <v>85.0</v>
      </c>
      <c r="D44" s="93">
        <v>35.0</v>
      </c>
      <c r="E44" s="90">
        <v>6.0</v>
      </c>
      <c r="F44" s="90" t="s">
        <v>559</v>
      </c>
      <c r="G44" s="90" t="s">
        <v>562</v>
      </c>
      <c r="H44" s="92" t="s">
        <v>561</v>
      </c>
      <c r="I44" s="90"/>
      <c r="J44" s="21"/>
      <c r="K44" s="21"/>
    </row>
    <row r="45" ht="13.5" customHeight="1">
      <c r="A45" s="90">
        <v>41.0</v>
      </c>
      <c r="B45" s="90" t="s">
        <v>575</v>
      </c>
      <c r="C45" s="93">
        <v>86.0</v>
      </c>
      <c r="D45" s="93">
        <v>1.0</v>
      </c>
      <c r="E45" s="90">
        <v>6.0</v>
      </c>
      <c r="F45" s="90" t="s">
        <v>559</v>
      </c>
      <c r="G45" s="90" t="s">
        <v>562</v>
      </c>
      <c r="H45" s="92" t="s">
        <v>561</v>
      </c>
      <c r="I45" s="90"/>
      <c r="J45" s="21"/>
      <c r="K45" s="21"/>
    </row>
    <row r="46" ht="13.5" customHeight="1">
      <c r="A46" s="90">
        <v>42.0</v>
      </c>
      <c r="B46" s="90" t="s">
        <v>575</v>
      </c>
      <c r="C46" s="93">
        <v>86.0</v>
      </c>
      <c r="D46" s="93">
        <v>9.0</v>
      </c>
      <c r="E46" s="90">
        <v>9.0</v>
      </c>
      <c r="F46" s="90" t="s">
        <v>559</v>
      </c>
      <c r="G46" s="90" t="s">
        <v>562</v>
      </c>
      <c r="H46" s="92" t="s">
        <v>561</v>
      </c>
      <c r="I46" s="90"/>
      <c r="J46" s="21"/>
      <c r="K46" s="21"/>
    </row>
    <row r="47" ht="13.5" customHeight="1">
      <c r="A47" s="90">
        <v>43.0</v>
      </c>
      <c r="B47" s="90" t="s">
        <v>575</v>
      </c>
      <c r="C47" s="93">
        <v>86.0</v>
      </c>
      <c r="D47" s="93">
        <v>14.0</v>
      </c>
      <c r="E47" s="90">
        <v>10.0</v>
      </c>
      <c r="F47" s="90" t="s">
        <v>559</v>
      </c>
      <c r="G47" s="90" t="s">
        <v>562</v>
      </c>
      <c r="H47" s="92" t="s">
        <v>561</v>
      </c>
      <c r="I47" s="90"/>
      <c r="J47" s="21"/>
      <c r="K47" s="21"/>
    </row>
    <row r="48" ht="13.5" customHeight="1">
      <c r="A48" s="90">
        <v>44.0</v>
      </c>
      <c r="B48" s="90" t="s">
        <v>575</v>
      </c>
      <c r="C48" s="93">
        <v>87.0</v>
      </c>
      <c r="D48" s="93">
        <v>22.0</v>
      </c>
      <c r="E48" s="90">
        <v>15.0</v>
      </c>
      <c r="F48" s="90" t="s">
        <v>559</v>
      </c>
      <c r="G48" s="90" t="s">
        <v>562</v>
      </c>
      <c r="H48" s="92" t="s">
        <v>561</v>
      </c>
      <c r="I48" s="90"/>
      <c r="J48" s="21"/>
      <c r="K48" s="21"/>
    </row>
    <row r="49" ht="13.5" customHeight="1">
      <c r="A49" s="90">
        <v>45.0</v>
      </c>
      <c r="B49" s="90" t="s">
        <v>575</v>
      </c>
      <c r="C49" s="93">
        <v>42.0</v>
      </c>
      <c r="D49" s="145">
        <v>34.0</v>
      </c>
      <c r="E49" s="90">
        <v>16.0</v>
      </c>
      <c r="F49" s="92" t="s">
        <v>576</v>
      </c>
      <c r="G49" s="144">
        <v>45997.0</v>
      </c>
      <c r="H49" s="92" t="s">
        <v>561</v>
      </c>
      <c r="I49" s="90" t="s">
        <v>577</v>
      </c>
      <c r="J49" s="21"/>
      <c r="K49" s="21"/>
    </row>
    <row r="50" ht="13.5" customHeight="1">
      <c r="A50" s="90">
        <v>46.0</v>
      </c>
      <c r="B50" s="90" t="s">
        <v>575</v>
      </c>
      <c r="C50" s="93">
        <v>88.0</v>
      </c>
      <c r="D50" s="93">
        <v>11.0</v>
      </c>
      <c r="E50" s="90">
        <v>2.0</v>
      </c>
      <c r="F50" s="90" t="s">
        <v>559</v>
      </c>
      <c r="G50" s="90" t="s">
        <v>562</v>
      </c>
      <c r="H50" s="92" t="s">
        <v>561</v>
      </c>
      <c r="I50" s="90"/>
      <c r="J50" s="21"/>
      <c r="K50" s="21"/>
    </row>
    <row r="51" ht="13.5" customHeight="1">
      <c r="A51" s="90">
        <v>47.0</v>
      </c>
      <c r="B51" s="90" t="s">
        <v>575</v>
      </c>
      <c r="C51" s="93">
        <v>88.0</v>
      </c>
      <c r="D51" s="93">
        <v>23.0</v>
      </c>
      <c r="E51" s="90">
        <v>2.0</v>
      </c>
      <c r="F51" s="90" t="s">
        <v>559</v>
      </c>
      <c r="G51" s="90" t="s">
        <v>562</v>
      </c>
      <c r="H51" s="92" t="s">
        <v>561</v>
      </c>
      <c r="I51" s="90"/>
      <c r="J51" s="21"/>
      <c r="K51" s="21"/>
    </row>
    <row r="52" ht="13.5" customHeight="1">
      <c r="A52" s="90">
        <v>48.0</v>
      </c>
      <c r="B52" s="90" t="s">
        <v>575</v>
      </c>
      <c r="C52" s="93">
        <v>94.0</v>
      </c>
      <c r="D52" s="93">
        <v>1.0</v>
      </c>
      <c r="E52" s="90">
        <v>4.0</v>
      </c>
      <c r="F52" s="90" t="s">
        <v>559</v>
      </c>
      <c r="G52" s="90" t="s">
        <v>562</v>
      </c>
      <c r="H52" s="92" t="s">
        <v>561</v>
      </c>
      <c r="I52" s="90"/>
      <c r="J52" s="21"/>
      <c r="K52" s="21"/>
    </row>
    <row r="53" ht="13.5" customHeight="1">
      <c r="A53" s="90">
        <v>49.0</v>
      </c>
      <c r="B53" s="90" t="s">
        <v>575</v>
      </c>
      <c r="C53" s="93">
        <v>95.0</v>
      </c>
      <c r="D53" s="93">
        <v>1.0</v>
      </c>
      <c r="E53" s="90">
        <v>2.0</v>
      </c>
      <c r="F53" s="90" t="s">
        <v>559</v>
      </c>
      <c r="G53" s="90" t="s">
        <v>562</v>
      </c>
      <c r="H53" s="92" t="s">
        <v>561</v>
      </c>
      <c r="I53" s="90"/>
      <c r="J53" s="21"/>
      <c r="K53" s="21"/>
    </row>
    <row r="54" ht="13.5" customHeight="1">
      <c r="A54" s="90">
        <v>50.0</v>
      </c>
      <c r="B54" s="90" t="s">
        <v>575</v>
      </c>
      <c r="C54" s="93">
        <v>95.0</v>
      </c>
      <c r="D54" s="93">
        <v>1.0</v>
      </c>
      <c r="E54" s="90">
        <v>3.0</v>
      </c>
      <c r="F54" s="90" t="s">
        <v>559</v>
      </c>
      <c r="G54" s="90" t="s">
        <v>562</v>
      </c>
      <c r="H54" s="92" t="s">
        <v>561</v>
      </c>
      <c r="I54" s="90"/>
      <c r="J54" s="21"/>
      <c r="K54" s="21"/>
    </row>
    <row r="55" ht="13.5" customHeight="1">
      <c r="A55" s="90">
        <v>51.0</v>
      </c>
      <c r="B55" s="90" t="s">
        <v>575</v>
      </c>
      <c r="C55" s="93">
        <v>95.0</v>
      </c>
      <c r="D55" s="93">
        <v>1.0</v>
      </c>
      <c r="E55" s="90">
        <v>4.0</v>
      </c>
      <c r="F55" s="90" t="s">
        <v>559</v>
      </c>
      <c r="G55" s="90" t="s">
        <v>562</v>
      </c>
      <c r="H55" s="92" t="s">
        <v>561</v>
      </c>
      <c r="I55" s="90"/>
      <c r="J55" s="21"/>
      <c r="K55" s="21"/>
    </row>
    <row r="56" ht="13.5" customHeight="1">
      <c r="A56" s="90">
        <v>52.0</v>
      </c>
      <c r="B56" s="90" t="s">
        <v>564</v>
      </c>
      <c r="C56" s="93">
        <v>95.0</v>
      </c>
      <c r="D56" s="93">
        <v>1.0</v>
      </c>
      <c r="E56" s="90">
        <v>5.0</v>
      </c>
      <c r="F56" s="90" t="s">
        <v>559</v>
      </c>
      <c r="G56" s="90" t="s">
        <v>562</v>
      </c>
      <c r="H56" s="92" t="s">
        <v>561</v>
      </c>
      <c r="I56" s="90"/>
      <c r="J56" s="21"/>
      <c r="K56" s="21"/>
    </row>
    <row r="57" ht="13.5" customHeight="1">
      <c r="A57" s="90">
        <v>53.0</v>
      </c>
      <c r="B57" s="90" t="s">
        <v>564</v>
      </c>
      <c r="C57" s="93">
        <v>95.0</v>
      </c>
      <c r="D57" s="93">
        <v>16.0</v>
      </c>
      <c r="E57" s="90">
        <v>16.0</v>
      </c>
      <c r="F57" s="90" t="s">
        <v>559</v>
      </c>
      <c r="G57" s="90" t="s">
        <v>562</v>
      </c>
      <c r="H57" s="92" t="s">
        <v>561</v>
      </c>
      <c r="I57" s="90"/>
      <c r="J57" s="21"/>
      <c r="K57" s="21"/>
    </row>
    <row r="58" ht="13.5" customHeight="1">
      <c r="A58" s="90">
        <v>54.0</v>
      </c>
      <c r="B58" s="90" t="s">
        <v>564</v>
      </c>
      <c r="C58" s="93">
        <v>97.0</v>
      </c>
      <c r="D58" s="93">
        <v>28.0</v>
      </c>
      <c r="E58" s="90">
        <v>2.0</v>
      </c>
      <c r="F58" s="92" t="s">
        <v>285</v>
      </c>
      <c r="G58" s="144">
        <v>45995.0</v>
      </c>
      <c r="H58" s="92" t="s">
        <v>561</v>
      </c>
      <c r="I58" s="90" t="s">
        <v>578</v>
      </c>
      <c r="J58" s="21"/>
      <c r="K58" s="21"/>
    </row>
    <row r="59" ht="13.5" customHeight="1">
      <c r="A59" s="90">
        <v>55.0</v>
      </c>
      <c r="B59" s="90" t="s">
        <v>564</v>
      </c>
      <c r="C59" s="93">
        <v>98.0</v>
      </c>
      <c r="D59" s="93">
        <v>34.0</v>
      </c>
      <c r="E59" s="90">
        <v>10.0</v>
      </c>
      <c r="F59" s="90" t="s">
        <v>559</v>
      </c>
      <c r="G59" s="90" t="s">
        <v>562</v>
      </c>
      <c r="H59" s="92" t="s">
        <v>561</v>
      </c>
      <c r="I59" s="90"/>
      <c r="J59" s="21"/>
      <c r="K59" s="21"/>
    </row>
    <row r="60" ht="13.5" customHeight="1">
      <c r="A60" s="90">
        <v>56.0</v>
      </c>
      <c r="B60" s="90" t="s">
        <v>564</v>
      </c>
      <c r="C60" s="93">
        <v>99.0</v>
      </c>
      <c r="D60" s="93">
        <v>14.0</v>
      </c>
      <c r="E60" s="90">
        <v>1.0</v>
      </c>
      <c r="F60" s="90" t="s">
        <v>559</v>
      </c>
      <c r="G60" s="90" t="s">
        <v>562</v>
      </c>
      <c r="H60" s="92" t="s">
        <v>561</v>
      </c>
      <c r="I60" s="90"/>
      <c r="J60" s="21"/>
      <c r="K60" s="21"/>
    </row>
    <row r="61" ht="13.5" customHeight="1">
      <c r="A61" s="90">
        <v>57.0</v>
      </c>
      <c r="B61" s="90" t="s">
        <v>564</v>
      </c>
      <c r="C61" s="93">
        <v>99.0</v>
      </c>
      <c r="D61" s="93">
        <v>25.0</v>
      </c>
      <c r="E61" s="90">
        <v>4.0</v>
      </c>
      <c r="F61" s="90" t="s">
        <v>559</v>
      </c>
      <c r="G61" s="90" t="s">
        <v>562</v>
      </c>
      <c r="H61" s="92" t="s">
        <v>561</v>
      </c>
      <c r="I61" s="90"/>
      <c r="J61" s="21"/>
      <c r="K61" s="21"/>
    </row>
    <row r="62" ht="13.5" customHeight="1">
      <c r="A62" s="90">
        <v>58.0</v>
      </c>
      <c r="B62" s="90" t="s">
        <v>564</v>
      </c>
      <c r="C62" s="93">
        <v>99.0</v>
      </c>
      <c r="D62" s="93">
        <v>26.0</v>
      </c>
      <c r="E62" s="90">
        <v>16.0</v>
      </c>
      <c r="F62" s="90" t="s">
        <v>559</v>
      </c>
      <c r="G62" s="90" t="s">
        <v>562</v>
      </c>
      <c r="H62" s="92" t="s">
        <v>561</v>
      </c>
      <c r="I62" s="90"/>
      <c r="J62" s="21"/>
      <c r="K62" s="21"/>
    </row>
    <row r="63" ht="13.5" customHeight="1">
      <c r="A63" s="90">
        <v>59.0</v>
      </c>
      <c r="B63" s="90" t="s">
        <v>564</v>
      </c>
      <c r="C63" s="93">
        <v>102.0</v>
      </c>
      <c r="D63" s="93">
        <v>16.0</v>
      </c>
      <c r="E63" s="90">
        <v>1.0</v>
      </c>
      <c r="F63" s="90" t="s">
        <v>559</v>
      </c>
      <c r="G63" s="90" t="s">
        <v>562</v>
      </c>
      <c r="H63" s="92" t="s">
        <v>561</v>
      </c>
      <c r="I63" s="90"/>
      <c r="J63" s="21"/>
      <c r="K63" s="21"/>
    </row>
    <row r="64" ht="13.5" customHeight="1">
      <c r="A64" s="90">
        <v>60.0</v>
      </c>
      <c r="B64" s="90" t="s">
        <v>564</v>
      </c>
      <c r="C64" s="93">
        <v>104.0</v>
      </c>
      <c r="D64" s="93">
        <v>25.0</v>
      </c>
      <c r="E64" s="90">
        <v>16.0</v>
      </c>
      <c r="F64" s="90" t="s">
        <v>559</v>
      </c>
      <c r="G64" s="90" t="s">
        <v>562</v>
      </c>
      <c r="H64" s="92" t="s">
        <v>561</v>
      </c>
      <c r="I64" s="90"/>
      <c r="J64" s="21"/>
      <c r="K64" s="21"/>
    </row>
    <row r="65" ht="13.5" customHeight="1">
      <c r="A65" s="90">
        <v>61.0</v>
      </c>
      <c r="B65" s="90" t="s">
        <v>564</v>
      </c>
      <c r="C65" s="93">
        <v>104.0</v>
      </c>
      <c r="D65" s="93">
        <v>36.0</v>
      </c>
      <c r="E65" s="90">
        <v>11.0</v>
      </c>
      <c r="F65" s="92" t="s">
        <v>314</v>
      </c>
      <c r="G65" s="204">
        <v>45820.0</v>
      </c>
      <c r="H65" s="92" t="s">
        <v>561</v>
      </c>
      <c r="I65" s="90" t="s">
        <v>578</v>
      </c>
      <c r="J65" s="21"/>
      <c r="K65" s="21"/>
    </row>
    <row r="66" ht="13.5" customHeight="1">
      <c r="A66" s="90">
        <v>62.0</v>
      </c>
      <c r="B66" s="90" t="s">
        <v>560</v>
      </c>
      <c r="C66" s="93">
        <v>106.0</v>
      </c>
      <c r="D66" s="93">
        <v>24.0</v>
      </c>
      <c r="E66" s="90">
        <v>11.0</v>
      </c>
      <c r="F66" s="90" t="s">
        <v>559</v>
      </c>
      <c r="G66" s="90" t="s">
        <v>562</v>
      </c>
      <c r="H66" s="92" t="s">
        <v>561</v>
      </c>
      <c r="I66" s="90"/>
      <c r="J66" s="21"/>
      <c r="K66" s="21"/>
    </row>
    <row r="67" ht="13.5" customHeight="1">
      <c r="A67" s="90">
        <v>63.0</v>
      </c>
      <c r="B67" s="90" t="s">
        <v>560</v>
      </c>
      <c r="C67" s="93">
        <v>106.0</v>
      </c>
      <c r="D67" s="93">
        <v>27.0</v>
      </c>
      <c r="E67" s="90">
        <v>11.0</v>
      </c>
      <c r="F67" s="90" t="s">
        <v>559</v>
      </c>
      <c r="G67" s="90" t="s">
        <v>562</v>
      </c>
      <c r="H67" s="92" t="s">
        <v>561</v>
      </c>
      <c r="I67" s="90"/>
      <c r="J67" s="21"/>
      <c r="K67" s="21"/>
    </row>
    <row r="68" ht="13.5" customHeight="1">
      <c r="A68" s="90">
        <v>64.0</v>
      </c>
      <c r="B68" s="90" t="s">
        <v>560</v>
      </c>
      <c r="C68" s="93">
        <v>106.0</v>
      </c>
      <c r="D68" s="93">
        <v>28.0</v>
      </c>
      <c r="E68" s="90">
        <v>15.0</v>
      </c>
      <c r="F68" s="90" t="s">
        <v>559</v>
      </c>
      <c r="G68" s="90" t="s">
        <v>562</v>
      </c>
      <c r="H68" s="92" t="s">
        <v>561</v>
      </c>
      <c r="I68" s="90"/>
      <c r="J68" s="21"/>
      <c r="K68" s="21"/>
    </row>
    <row r="69" ht="13.5" customHeight="1">
      <c r="A69" s="90">
        <v>65.0</v>
      </c>
      <c r="B69" s="90" t="s">
        <v>560</v>
      </c>
      <c r="C69" s="93">
        <v>106.0</v>
      </c>
      <c r="D69" s="93">
        <v>35.0</v>
      </c>
      <c r="E69" s="90">
        <v>12.0</v>
      </c>
      <c r="F69" s="90" t="s">
        <v>559</v>
      </c>
      <c r="G69" s="90" t="s">
        <v>562</v>
      </c>
      <c r="H69" s="92" t="s">
        <v>561</v>
      </c>
      <c r="I69" s="90"/>
      <c r="J69" s="21"/>
      <c r="K69" s="21"/>
    </row>
    <row r="70" ht="13.5" customHeight="1">
      <c r="A70" s="90">
        <v>66.0</v>
      </c>
      <c r="B70" s="90" t="s">
        <v>560</v>
      </c>
      <c r="C70" s="93">
        <v>107.0</v>
      </c>
      <c r="D70" s="93">
        <v>16.0</v>
      </c>
      <c r="E70" s="92">
        <v>4.0</v>
      </c>
      <c r="F70" s="92" t="s">
        <v>579</v>
      </c>
      <c r="G70" s="205">
        <v>45912.0</v>
      </c>
      <c r="H70" s="92" t="s">
        <v>561</v>
      </c>
      <c r="I70" s="92" t="s">
        <v>579</v>
      </c>
      <c r="J70" s="21"/>
      <c r="K70" s="21"/>
    </row>
    <row r="71" ht="13.5" customHeight="1">
      <c r="A71" s="90">
        <v>67.0</v>
      </c>
      <c r="B71" s="90" t="s">
        <v>560</v>
      </c>
      <c r="C71" s="93">
        <v>108.0</v>
      </c>
      <c r="D71" s="93">
        <v>8.0</v>
      </c>
      <c r="E71" s="90">
        <v>12.0</v>
      </c>
      <c r="F71" s="92" t="s">
        <v>580</v>
      </c>
      <c r="G71" s="144">
        <v>45997.0</v>
      </c>
      <c r="H71" s="92" t="s">
        <v>561</v>
      </c>
      <c r="I71" s="90" t="s">
        <v>572</v>
      </c>
      <c r="J71" s="21"/>
      <c r="K71" s="21"/>
    </row>
    <row r="72" ht="13.5" customHeight="1">
      <c r="A72" s="90">
        <v>68.0</v>
      </c>
      <c r="B72" s="90" t="s">
        <v>560</v>
      </c>
      <c r="C72" s="93">
        <v>109.0</v>
      </c>
      <c r="D72" s="145">
        <v>17.0</v>
      </c>
      <c r="E72" s="92">
        <v>6.0</v>
      </c>
      <c r="F72" s="90" t="s">
        <v>559</v>
      </c>
      <c r="G72" s="90" t="s">
        <v>562</v>
      </c>
      <c r="H72" s="92" t="s">
        <v>561</v>
      </c>
      <c r="I72" s="90"/>
      <c r="J72" s="21"/>
      <c r="K72" s="21"/>
    </row>
    <row r="73" ht="13.5" customHeight="1">
      <c r="A73" s="90">
        <v>69.0</v>
      </c>
      <c r="B73" s="90" t="s">
        <v>560</v>
      </c>
      <c r="C73" s="93">
        <v>109.0</v>
      </c>
      <c r="D73" s="93">
        <v>32.0</v>
      </c>
      <c r="E73" s="90">
        <v>8.0</v>
      </c>
      <c r="F73" s="90" t="s">
        <v>559</v>
      </c>
      <c r="G73" s="90" t="s">
        <v>562</v>
      </c>
      <c r="H73" s="92" t="s">
        <v>561</v>
      </c>
      <c r="I73" s="90"/>
      <c r="J73" s="21"/>
      <c r="K73" s="21"/>
    </row>
    <row r="74" ht="13.5" customHeight="1">
      <c r="A74" s="90">
        <v>70.0</v>
      </c>
      <c r="B74" s="90" t="s">
        <v>560</v>
      </c>
      <c r="C74" s="93">
        <v>116.0</v>
      </c>
      <c r="D74" s="93">
        <v>24.0</v>
      </c>
      <c r="E74" s="90">
        <v>7.0</v>
      </c>
      <c r="F74" s="90" t="s">
        <v>559</v>
      </c>
      <c r="G74" s="90" t="s">
        <v>562</v>
      </c>
      <c r="H74" s="92" t="s">
        <v>561</v>
      </c>
      <c r="I74" s="90"/>
      <c r="J74" s="21"/>
      <c r="K74" s="21"/>
    </row>
    <row r="75" ht="13.5" customHeight="1">
      <c r="A75" s="90">
        <v>71.0</v>
      </c>
      <c r="B75" s="90" t="s">
        <v>560</v>
      </c>
      <c r="C75" s="93">
        <v>116.0</v>
      </c>
      <c r="D75" s="93">
        <v>24.0</v>
      </c>
      <c r="E75" s="90">
        <v>8.0</v>
      </c>
      <c r="F75" s="90" t="s">
        <v>559</v>
      </c>
      <c r="G75" s="90" t="s">
        <v>562</v>
      </c>
      <c r="H75" s="92" t="s">
        <v>561</v>
      </c>
      <c r="I75" s="90"/>
      <c r="J75" s="21"/>
      <c r="K75" s="21"/>
    </row>
    <row r="76" ht="13.5" customHeight="1">
      <c r="A76" s="90">
        <v>72.0</v>
      </c>
      <c r="B76" s="90" t="s">
        <v>560</v>
      </c>
      <c r="C76" s="93">
        <v>120.0</v>
      </c>
      <c r="D76" s="93">
        <v>23.0</v>
      </c>
      <c r="E76" s="90">
        <v>3.0</v>
      </c>
      <c r="F76" s="90" t="s">
        <v>559</v>
      </c>
      <c r="G76" s="90" t="s">
        <v>562</v>
      </c>
      <c r="H76" s="92" t="s">
        <v>561</v>
      </c>
      <c r="I76" s="90"/>
      <c r="J76" s="21"/>
      <c r="K76" s="21"/>
    </row>
    <row r="77" ht="13.5" customHeight="1">
      <c r="A77" s="90">
        <v>73.0</v>
      </c>
      <c r="B77" s="90" t="s">
        <v>560</v>
      </c>
      <c r="C77" s="93">
        <v>120.0</v>
      </c>
      <c r="D77" s="93">
        <v>23.0</v>
      </c>
      <c r="E77" s="90">
        <v>15.0</v>
      </c>
      <c r="F77" s="90" t="s">
        <v>559</v>
      </c>
      <c r="G77" s="90" t="s">
        <v>562</v>
      </c>
      <c r="H77" s="92" t="s">
        <v>561</v>
      </c>
      <c r="I77" s="90"/>
      <c r="J77" s="21"/>
      <c r="K77" s="21"/>
    </row>
    <row r="78" ht="13.5" customHeight="1">
      <c r="A78" s="90">
        <v>74.0</v>
      </c>
      <c r="B78" s="90" t="s">
        <v>560</v>
      </c>
      <c r="C78" s="93">
        <v>120.0</v>
      </c>
      <c r="D78" s="93">
        <v>23.0</v>
      </c>
      <c r="E78" s="90">
        <v>16.0</v>
      </c>
      <c r="F78" s="90" t="s">
        <v>559</v>
      </c>
      <c r="G78" s="90" t="s">
        <v>562</v>
      </c>
      <c r="H78" s="92" t="s">
        <v>561</v>
      </c>
      <c r="I78" s="90"/>
      <c r="J78" s="21"/>
      <c r="K78" s="21"/>
    </row>
    <row r="79" ht="13.5" customHeight="1">
      <c r="A79" s="90">
        <v>75.0</v>
      </c>
      <c r="B79" s="90" t="s">
        <v>567</v>
      </c>
      <c r="C79" s="93">
        <v>121.0</v>
      </c>
      <c r="D79" s="93">
        <v>5.0</v>
      </c>
      <c r="E79" s="90">
        <v>9.0</v>
      </c>
      <c r="F79" s="90" t="s">
        <v>559</v>
      </c>
      <c r="G79" s="90" t="s">
        <v>562</v>
      </c>
      <c r="H79" s="92" t="s">
        <v>561</v>
      </c>
      <c r="I79" s="90"/>
      <c r="J79" s="21"/>
      <c r="K79" s="21"/>
    </row>
    <row r="80" ht="13.5" customHeight="1">
      <c r="A80" s="90">
        <v>76.0</v>
      </c>
      <c r="B80" s="90" t="s">
        <v>567</v>
      </c>
      <c r="C80" s="93">
        <v>121.0</v>
      </c>
      <c r="D80" s="93">
        <v>7.0</v>
      </c>
      <c r="E80" s="90">
        <v>5.0</v>
      </c>
      <c r="F80" s="90" t="s">
        <v>559</v>
      </c>
      <c r="G80" s="90" t="s">
        <v>562</v>
      </c>
      <c r="H80" s="92" t="s">
        <v>561</v>
      </c>
      <c r="I80" s="90"/>
      <c r="J80" s="21"/>
      <c r="K80" s="21"/>
    </row>
    <row r="81" ht="13.5" customHeight="1">
      <c r="A81" s="90">
        <v>77.0</v>
      </c>
      <c r="B81" s="90" t="s">
        <v>567</v>
      </c>
      <c r="C81" s="93">
        <v>121.0</v>
      </c>
      <c r="D81" s="93">
        <v>9.0</v>
      </c>
      <c r="E81" s="90">
        <v>2.0</v>
      </c>
      <c r="F81" s="90" t="s">
        <v>559</v>
      </c>
      <c r="G81" s="90" t="s">
        <v>562</v>
      </c>
      <c r="H81" s="92" t="s">
        <v>561</v>
      </c>
      <c r="I81" s="90"/>
      <c r="J81" s="21"/>
      <c r="K81" s="21"/>
    </row>
    <row r="82" ht="13.5" customHeight="1">
      <c r="A82" s="90">
        <v>78.0</v>
      </c>
      <c r="B82" s="90" t="s">
        <v>567</v>
      </c>
      <c r="C82" s="93">
        <v>124.0</v>
      </c>
      <c r="D82" s="93">
        <v>17.0</v>
      </c>
      <c r="E82" s="90">
        <v>4.0</v>
      </c>
      <c r="F82" s="90" t="s">
        <v>559</v>
      </c>
      <c r="G82" s="90" t="s">
        <v>581</v>
      </c>
      <c r="H82" s="92" t="s">
        <v>561</v>
      </c>
      <c r="I82" s="90"/>
      <c r="J82" s="21"/>
      <c r="K82" s="21"/>
    </row>
    <row r="83" ht="13.5" customHeight="1">
      <c r="A83" s="90">
        <v>79.0</v>
      </c>
      <c r="B83" s="90" t="s">
        <v>567</v>
      </c>
      <c r="C83" s="93">
        <v>126.0</v>
      </c>
      <c r="D83" s="93">
        <v>13.0</v>
      </c>
      <c r="E83" s="90">
        <v>5.0</v>
      </c>
      <c r="F83" s="90" t="s">
        <v>559</v>
      </c>
      <c r="G83" s="90" t="s">
        <v>581</v>
      </c>
      <c r="H83" s="92" t="s">
        <v>561</v>
      </c>
      <c r="I83" s="90"/>
      <c r="J83" s="21"/>
      <c r="K83" s="21"/>
    </row>
    <row r="84" ht="13.5" customHeight="1">
      <c r="A84" s="90">
        <v>80.0</v>
      </c>
      <c r="B84" s="90" t="s">
        <v>567</v>
      </c>
      <c r="C84" s="93">
        <v>126.0</v>
      </c>
      <c r="D84" s="93">
        <v>26.0</v>
      </c>
      <c r="E84" s="90">
        <v>16.0</v>
      </c>
      <c r="F84" s="90" t="s">
        <v>559</v>
      </c>
      <c r="G84" s="90" t="s">
        <v>581</v>
      </c>
      <c r="H84" s="92" t="s">
        <v>561</v>
      </c>
      <c r="I84" s="90"/>
      <c r="J84" s="21"/>
      <c r="K84" s="21"/>
    </row>
    <row r="85" ht="13.5" customHeight="1">
      <c r="A85" s="90">
        <v>81.0</v>
      </c>
      <c r="B85" s="90" t="s">
        <v>567</v>
      </c>
      <c r="C85" s="93">
        <v>128.0</v>
      </c>
      <c r="D85" s="93">
        <v>4.0</v>
      </c>
      <c r="E85" s="90">
        <v>16.0</v>
      </c>
      <c r="F85" s="90" t="s">
        <v>559</v>
      </c>
      <c r="G85" s="90" t="s">
        <v>581</v>
      </c>
      <c r="H85" s="92" t="s">
        <v>561</v>
      </c>
      <c r="I85" s="90"/>
      <c r="J85" s="21"/>
      <c r="K85" s="21"/>
    </row>
    <row r="86" ht="13.5" customHeight="1">
      <c r="A86" s="90">
        <v>82.0</v>
      </c>
      <c r="B86" s="90" t="s">
        <v>582</v>
      </c>
      <c r="C86" s="93">
        <v>128.0</v>
      </c>
      <c r="D86" s="93">
        <v>34.0</v>
      </c>
      <c r="E86" s="90">
        <v>11.0</v>
      </c>
      <c r="F86" s="90" t="s">
        <v>559</v>
      </c>
      <c r="G86" s="90" t="s">
        <v>581</v>
      </c>
      <c r="H86" s="92" t="s">
        <v>561</v>
      </c>
      <c r="I86" s="90"/>
      <c r="J86" s="21"/>
      <c r="K86" s="21"/>
    </row>
    <row r="87" ht="13.5" customHeight="1">
      <c r="A87" s="90">
        <v>83.0</v>
      </c>
      <c r="B87" s="90" t="s">
        <v>582</v>
      </c>
      <c r="C87" s="93">
        <v>128.0</v>
      </c>
      <c r="D87" s="93">
        <v>36.0</v>
      </c>
      <c r="E87" s="90">
        <v>8.0</v>
      </c>
      <c r="F87" s="90" t="s">
        <v>559</v>
      </c>
      <c r="G87" s="90" t="s">
        <v>581</v>
      </c>
      <c r="H87" s="92" t="s">
        <v>561</v>
      </c>
      <c r="I87" s="90"/>
      <c r="J87" s="21"/>
      <c r="K87" s="21"/>
    </row>
    <row r="88" ht="13.5" customHeight="1">
      <c r="A88" s="90">
        <v>84.0</v>
      </c>
      <c r="B88" s="90" t="s">
        <v>582</v>
      </c>
      <c r="C88" s="93">
        <v>130.0</v>
      </c>
      <c r="D88" s="93">
        <v>8.0</v>
      </c>
      <c r="E88" s="90">
        <v>16.0</v>
      </c>
      <c r="F88" s="90" t="s">
        <v>559</v>
      </c>
      <c r="G88" s="90" t="s">
        <v>581</v>
      </c>
      <c r="H88" s="92" t="s">
        <v>561</v>
      </c>
      <c r="I88" s="90"/>
      <c r="J88" s="21"/>
      <c r="K88" s="21"/>
    </row>
    <row r="89" ht="13.5" customHeight="1">
      <c r="A89" s="90">
        <v>85.0</v>
      </c>
      <c r="B89" s="90" t="s">
        <v>582</v>
      </c>
      <c r="C89" s="93">
        <v>130.0</v>
      </c>
      <c r="D89" s="93">
        <v>10.0</v>
      </c>
      <c r="E89" s="90">
        <v>1.0</v>
      </c>
      <c r="F89" s="90" t="s">
        <v>559</v>
      </c>
      <c r="G89" s="90" t="s">
        <v>573</v>
      </c>
      <c r="H89" s="92" t="s">
        <v>561</v>
      </c>
      <c r="I89" s="90"/>
      <c r="J89" s="21"/>
      <c r="K89" s="21"/>
    </row>
    <row r="90" ht="13.5" customHeight="1">
      <c r="A90" s="90">
        <v>86.0</v>
      </c>
      <c r="B90" s="90" t="s">
        <v>582</v>
      </c>
      <c r="C90" s="93">
        <v>130.0</v>
      </c>
      <c r="D90" s="93">
        <v>24.0</v>
      </c>
      <c r="E90" s="90">
        <v>7.0</v>
      </c>
      <c r="F90" s="90" t="s">
        <v>559</v>
      </c>
      <c r="G90" s="90" t="s">
        <v>573</v>
      </c>
      <c r="H90" s="92" t="s">
        <v>561</v>
      </c>
      <c r="I90" s="90"/>
      <c r="J90" s="21"/>
      <c r="K90" s="21"/>
    </row>
    <row r="91" ht="13.5" customHeight="1">
      <c r="A91" s="90">
        <v>87.0</v>
      </c>
      <c r="B91" s="90" t="s">
        <v>582</v>
      </c>
      <c r="C91" s="93">
        <v>132.0</v>
      </c>
      <c r="D91" s="93">
        <v>5.0</v>
      </c>
      <c r="E91" s="90">
        <v>12.0</v>
      </c>
      <c r="F91" s="90" t="s">
        <v>559</v>
      </c>
      <c r="G91" s="90" t="s">
        <v>573</v>
      </c>
      <c r="H91" s="92" t="s">
        <v>561</v>
      </c>
      <c r="I91" s="90"/>
      <c r="J91" s="21"/>
      <c r="K91" s="21"/>
    </row>
    <row r="92" ht="13.5" customHeight="1">
      <c r="A92" s="90">
        <v>88.0</v>
      </c>
      <c r="B92" s="90" t="s">
        <v>583</v>
      </c>
      <c r="C92" s="93">
        <v>47.0</v>
      </c>
      <c r="D92" s="93">
        <v>27.0</v>
      </c>
      <c r="E92" s="90">
        <v>16.0</v>
      </c>
      <c r="F92" s="90" t="s">
        <v>559</v>
      </c>
      <c r="G92" s="90" t="s">
        <v>573</v>
      </c>
      <c r="H92" s="92" t="s">
        <v>561</v>
      </c>
      <c r="I92" s="90"/>
      <c r="J92" s="21"/>
      <c r="K92" s="21"/>
    </row>
    <row r="93" ht="13.5" customHeight="1">
      <c r="A93" s="90">
        <v>89.0</v>
      </c>
      <c r="B93" s="90" t="s">
        <v>583</v>
      </c>
      <c r="C93" s="93">
        <v>84.0</v>
      </c>
      <c r="D93" s="93">
        <v>3.0</v>
      </c>
      <c r="E93" s="92">
        <v>2.0</v>
      </c>
      <c r="F93" s="90" t="s">
        <v>559</v>
      </c>
      <c r="G93" s="90" t="s">
        <v>573</v>
      </c>
      <c r="H93" s="92" t="s">
        <v>561</v>
      </c>
      <c r="I93" s="90"/>
      <c r="J93" s="21"/>
      <c r="K93" s="21"/>
    </row>
    <row r="94" ht="13.5" customHeight="1">
      <c r="A94" s="90">
        <v>90.0</v>
      </c>
      <c r="B94" s="90" t="s">
        <v>584</v>
      </c>
      <c r="C94" s="93">
        <v>99.0</v>
      </c>
      <c r="D94" s="93">
        <v>16.0</v>
      </c>
      <c r="E94" s="92">
        <v>11.0</v>
      </c>
      <c r="F94" s="90" t="s">
        <v>559</v>
      </c>
      <c r="G94" s="90" t="s">
        <v>573</v>
      </c>
      <c r="H94" s="92" t="s">
        <v>561</v>
      </c>
      <c r="I94" s="90"/>
      <c r="J94" s="21"/>
      <c r="K94" s="21"/>
    </row>
    <row r="95" ht="13.5" customHeight="1">
      <c r="A95" s="90">
        <v>91.0</v>
      </c>
      <c r="B95" s="90" t="s">
        <v>584</v>
      </c>
      <c r="C95" s="93">
        <v>99.0</v>
      </c>
      <c r="D95" s="93">
        <v>26.0</v>
      </c>
      <c r="E95" s="92">
        <v>15.0</v>
      </c>
      <c r="F95" s="90" t="s">
        <v>559</v>
      </c>
      <c r="G95" s="90" t="s">
        <v>573</v>
      </c>
      <c r="H95" s="92" t="s">
        <v>561</v>
      </c>
      <c r="I95" s="90"/>
      <c r="J95" s="21"/>
      <c r="K95" s="21"/>
    </row>
    <row r="96" ht="13.5" customHeight="1">
      <c r="A96" s="90">
        <v>92.0</v>
      </c>
      <c r="B96" s="90" t="s">
        <v>584</v>
      </c>
      <c r="C96" s="93">
        <v>101.0</v>
      </c>
      <c r="D96" s="93">
        <v>3.0</v>
      </c>
      <c r="E96" s="90">
        <v>1.0</v>
      </c>
      <c r="F96" s="92" t="s">
        <v>585</v>
      </c>
      <c r="G96" s="144">
        <v>45995.0</v>
      </c>
      <c r="H96" s="92" t="s">
        <v>561</v>
      </c>
      <c r="I96" s="90" t="s">
        <v>563</v>
      </c>
      <c r="J96" s="21"/>
      <c r="K96" s="21"/>
    </row>
    <row r="97" ht="13.5" customHeight="1">
      <c r="A97" s="90">
        <v>93.0</v>
      </c>
      <c r="B97" s="90" t="s">
        <v>586</v>
      </c>
      <c r="C97" s="93">
        <v>102.0</v>
      </c>
      <c r="D97" s="93">
        <v>15.0</v>
      </c>
      <c r="E97" s="92">
        <v>1.0</v>
      </c>
      <c r="F97" s="90" t="s">
        <v>559</v>
      </c>
      <c r="G97" s="90" t="s">
        <v>570</v>
      </c>
      <c r="H97" s="92" t="s">
        <v>561</v>
      </c>
      <c r="I97" s="90"/>
      <c r="J97" s="21"/>
      <c r="K97" s="21"/>
    </row>
    <row r="98" ht="13.5" customHeight="1">
      <c r="A98" s="90">
        <v>94.0</v>
      </c>
      <c r="B98" s="90" t="s">
        <v>586</v>
      </c>
      <c r="C98" s="93">
        <v>67.0</v>
      </c>
      <c r="D98" s="93">
        <v>11.0</v>
      </c>
      <c r="E98" s="90">
        <v>2.0</v>
      </c>
      <c r="F98" s="90" t="s">
        <v>559</v>
      </c>
      <c r="G98" s="90" t="s">
        <v>570</v>
      </c>
      <c r="H98" s="92" t="s">
        <v>561</v>
      </c>
      <c r="I98" s="90"/>
      <c r="J98" s="21"/>
      <c r="K98" s="21"/>
    </row>
    <row r="99" ht="13.5" customHeight="1">
      <c r="A99" s="90">
        <v>95.0</v>
      </c>
      <c r="B99" s="90" t="s">
        <v>586</v>
      </c>
      <c r="C99" s="93">
        <v>28.0</v>
      </c>
      <c r="D99" s="93">
        <v>23.0</v>
      </c>
      <c r="E99" s="92">
        <v>14.0</v>
      </c>
      <c r="F99" s="90" t="s">
        <v>559</v>
      </c>
      <c r="G99" s="90" t="s">
        <v>570</v>
      </c>
      <c r="H99" s="92" t="s">
        <v>561</v>
      </c>
      <c r="I99" s="90"/>
      <c r="J99" s="21"/>
      <c r="K99" s="21"/>
    </row>
    <row r="100" ht="13.5" customHeight="1">
      <c r="A100" s="90">
        <v>96.0</v>
      </c>
      <c r="B100" s="90" t="s">
        <v>586</v>
      </c>
      <c r="C100" s="93">
        <v>132.0</v>
      </c>
      <c r="D100" s="93">
        <v>5.0</v>
      </c>
      <c r="E100" s="92">
        <v>7.0</v>
      </c>
      <c r="F100" s="90" t="s">
        <v>559</v>
      </c>
      <c r="G100" s="90" t="s">
        <v>570</v>
      </c>
      <c r="H100" s="92" t="s">
        <v>561</v>
      </c>
      <c r="I100" s="90"/>
      <c r="J100" s="21"/>
      <c r="K100" s="21"/>
    </row>
    <row r="101" ht="13.5" customHeight="1">
      <c r="A101" s="90">
        <v>97.0</v>
      </c>
      <c r="B101" s="90" t="s">
        <v>586</v>
      </c>
      <c r="C101" s="93">
        <v>80.0</v>
      </c>
      <c r="D101" s="93">
        <v>1.0</v>
      </c>
      <c r="E101" s="90">
        <v>5.0</v>
      </c>
      <c r="F101" s="90" t="s">
        <v>559</v>
      </c>
      <c r="G101" s="90" t="s">
        <v>570</v>
      </c>
      <c r="H101" s="92" t="s">
        <v>561</v>
      </c>
      <c r="I101" s="90"/>
      <c r="J101" s="21"/>
      <c r="K101" s="21"/>
    </row>
    <row r="102" ht="13.5" customHeight="1">
      <c r="A102" s="90">
        <v>98.0</v>
      </c>
      <c r="B102" s="90" t="s">
        <v>586</v>
      </c>
      <c r="C102" s="93">
        <v>80.0</v>
      </c>
      <c r="D102" s="93">
        <v>5.0</v>
      </c>
      <c r="E102" s="90">
        <v>4.0</v>
      </c>
      <c r="F102" s="90" t="s">
        <v>559</v>
      </c>
      <c r="G102" s="90" t="s">
        <v>570</v>
      </c>
      <c r="H102" s="92" t="s">
        <v>561</v>
      </c>
      <c r="I102" s="90"/>
      <c r="J102" s="21"/>
      <c r="K102" s="21"/>
    </row>
    <row r="103" ht="13.5" customHeight="1">
      <c r="A103" s="90">
        <v>99.0</v>
      </c>
      <c r="B103" s="90" t="s">
        <v>586</v>
      </c>
      <c r="C103" s="93">
        <v>120.0</v>
      </c>
      <c r="D103" s="93">
        <v>17.0</v>
      </c>
      <c r="E103" s="90">
        <v>15.0</v>
      </c>
      <c r="F103" s="90" t="s">
        <v>559</v>
      </c>
      <c r="G103" s="139">
        <v>45993.0</v>
      </c>
      <c r="H103" s="92" t="s">
        <v>561</v>
      </c>
      <c r="I103" s="90"/>
      <c r="J103" s="21"/>
      <c r="K103" s="21"/>
    </row>
    <row r="104" ht="13.5" customHeight="1">
      <c r="A104" s="90">
        <v>100.0</v>
      </c>
      <c r="B104" s="90" t="s">
        <v>586</v>
      </c>
      <c r="C104" s="93">
        <v>121.0</v>
      </c>
      <c r="D104" s="93">
        <v>7.0</v>
      </c>
      <c r="E104" s="90">
        <v>10.0</v>
      </c>
      <c r="F104" s="90" t="s">
        <v>559</v>
      </c>
      <c r="G104" s="139">
        <v>45993.0</v>
      </c>
      <c r="H104" s="92" t="s">
        <v>561</v>
      </c>
      <c r="I104" s="90"/>
      <c r="J104" s="21"/>
      <c r="K104" s="21"/>
    </row>
    <row r="105" ht="13.5" customHeight="1">
      <c r="A105" s="90">
        <v>101.0</v>
      </c>
      <c r="B105" s="206">
        <v>45669.0</v>
      </c>
      <c r="C105" s="93">
        <v>8.0</v>
      </c>
      <c r="D105" s="93">
        <v>17.0</v>
      </c>
      <c r="E105" s="90">
        <v>16.0</v>
      </c>
      <c r="F105" s="90" t="s">
        <v>559</v>
      </c>
      <c r="G105" s="139">
        <v>45993.0</v>
      </c>
      <c r="H105" s="92" t="s">
        <v>561</v>
      </c>
      <c r="I105" s="90"/>
      <c r="J105" s="21"/>
      <c r="K105" s="21"/>
    </row>
    <row r="106" ht="13.5" customHeight="1">
      <c r="A106" s="90">
        <v>102.0</v>
      </c>
      <c r="B106" s="206">
        <v>45669.0</v>
      </c>
      <c r="C106" s="93">
        <v>13.0</v>
      </c>
      <c r="D106" s="93">
        <v>28.0</v>
      </c>
      <c r="E106" s="90">
        <v>9.0</v>
      </c>
      <c r="F106" s="90" t="s">
        <v>587</v>
      </c>
      <c r="G106" s="139">
        <v>45993.0</v>
      </c>
      <c r="H106" s="92" t="s">
        <v>561</v>
      </c>
      <c r="I106" s="90" t="s">
        <v>563</v>
      </c>
      <c r="J106" s="21"/>
      <c r="K106" s="21"/>
    </row>
    <row r="107" ht="13.5" customHeight="1">
      <c r="A107" s="90">
        <v>103.0</v>
      </c>
      <c r="B107" s="206">
        <v>45669.0</v>
      </c>
      <c r="C107" s="93">
        <v>17.0</v>
      </c>
      <c r="D107" s="93">
        <v>27.0</v>
      </c>
      <c r="E107" s="90">
        <v>7.0</v>
      </c>
      <c r="F107" s="92" t="s">
        <v>588</v>
      </c>
      <c r="G107" s="204">
        <v>45850.0</v>
      </c>
      <c r="H107" s="92" t="s">
        <v>561</v>
      </c>
      <c r="I107" s="90" t="s">
        <v>589</v>
      </c>
      <c r="J107" s="21"/>
      <c r="K107" s="21"/>
    </row>
    <row r="108" ht="13.5" customHeight="1">
      <c r="A108" s="90">
        <v>104.0</v>
      </c>
      <c r="B108" s="206">
        <v>45669.0</v>
      </c>
      <c r="C108" s="93">
        <v>42.0</v>
      </c>
      <c r="D108" s="93">
        <v>33.0</v>
      </c>
      <c r="E108" s="90">
        <v>16.0</v>
      </c>
      <c r="F108" s="90" t="s">
        <v>566</v>
      </c>
      <c r="G108" s="139">
        <v>45993.0</v>
      </c>
      <c r="H108" s="92" t="s">
        <v>561</v>
      </c>
      <c r="I108" s="90"/>
      <c r="J108" s="21"/>
      <c r="K108" s="21"/>
    </row>
    <row r="109" ht="13.5" customHeight="1">
      <c r="A109" s="90">
        <v>105.0</v>
      </c>
      <c r="B109" s="206">
        <v>45669.0</v>
      </c>
      <c r="C109" s="93">
        <v>42.0</v>
      </c>
      <c r="D109" s="145">
        <v>33.0</v>
      </c>
      <c r="E109" s="90">
        <v>16.0</v>
      </c>
      <c r="F109" s="92" t="s">
        <v>590</v>
      </c>
      <c r="G109" s="144">
        <v>45995.0</v>
      </c>
      <c r="H109" s="92" t="s">
        <v>561</v>
      </c>
      <c r="I109" s="90"/>
      <c r="J109" s="21"/>
      <c r="K109" s="21"/>
    </row>
    <row r="110" ht="13.5" customHeight="1">
      <c r="A110" s="90">
        <v>106.0</v>
      </c>
      <c r="B110" s="206">
        <v>45700.0</v>
      </c>
      <c r="C110" s="93">
        <v>53.0</v>
      </c>
      <c r="D110" s="93">
        <v>34.0</v>
      </c>
      <c r="E110" s="90">
        <v>3.0</v>
      </c>
      <c r="F110" s="92" t="s">
        <v>590</v>
      </c>
      <c r="G110" s="144">
        <v>45995.0</v>
      </c>
      <c r="H110" s="92" t="s">
        <v>561</v>
      </c>
      <c r="I110" s="90"/>
      <c r="J110" s="21"/>
      <c r="K110" s="21"/>
    </row>
    <row r="111" ht="13.5" customHeight="1">
      <c r="A111" s="90">
        <v>107.0</v>
      </c>
      <c r="B111" s="206">
        <v>45700.0</v>
      </c>
      <c r="C111" s="93">
        <v>58.0</v>
      </c>
      <c r="D111" s="93">
        <v>3.0</v>
      </c>
      <c r="E111" s="90">
        <v>14.0</v>
      </c>
      <c r="F111" s="92" t="s">
        <v>590</v>
      </c>
      <c r="G111" s="144">
        <v>45995.0</v>
      </c>
      <c r="H111" s="92" t="s">
        <v>561</v>
      </c>
      <c r="I111" s="90"/>
      <c r="J111" s="21"/>
      <c r="K111" s="21"/>
    </row>
    <row r="112" ht="13.5" customHeight="1">
      <c r="A112" s="90">
        <v>108.0</v>
      </c>
      <c r="B112" s="206">
        <v>45700.0</v>
      </c>
      <c r="C112" s="93">
        <v>59.0</v>
      </c>
      <c r="D112" s="93">
        <v>16.0</v>
      </c>
      <c r="E112" s="90">
        <v>1.0</v>
      </c>
      <c r="F112" s="92" t="s">
        <v>590</v>
      </c>
      <c r="G112" s="144">
        <v>45995.0</v>
      </c>
      <c r="H112" s="92" t="s">
        <v>561</v>
      </c>
      <c r="I112" s="90"/>
      <c r="J112" s="21"/>
      <c r="K112" s="21"/>
    </row>
    <row r="113" ht="13.5" customHeight="1">
      <c r="A113" s="90">
        <v>109.0</v>
      </c>
      <c r="B113" s="206">
        <v>45728.0</v>
      </c>
      <c r="C113" s="93">
        <v>108.0</v>
      </c>
      <c r="D113" s="93">
        <v>12.0</v>
      </c>
      <c r="E113" s="92">
        <v>12.0</v>
      </c>
      <c r="F113" s="92" t="s">
        <v>314</v>
      </c>
      <c r="G113" s="144">
        <v>45995.0</v>
      </c>
      <c r="H113" s="92" t="s">
        <v>561</v>
      </c>
      <c r="I113" s="90" t="s">
        <v>563</v>
      </c>
      <c r="J113" s="21"/>
      <c r="K113" s="21"/>
    </row>
    <row r="114" ht="13.5" customHeight="1">
      <c r="A114" s="90">
        <v>110.0</v>
      </c>
      <c r="B114" s="206">
        <v>45728.0</v>
      </c>
      <c r="C114" s="93">
        <v>125.0</v>
      </c>
      <c r="D114" s="93">
        <v>16.0</v>
      </c>
      <c r="E114" s="90">
        <v>9.0</v>
      </c>
      <c r="F114" s="92" t="s">
        <v>314</v>
      </c>
      <c r="G114" s="144">
        <v>45995.0</v>
      </c>
      <c r="H114" s="92" t="s">
        <v>561</v>
      </c>
      <c r="I114" s="90" t="s">
        <v>563</v>
      </c>
      <c r="J114" s="21"/>
      <c r="K114" s="21"/>
    </row>
    <row r="115" ht="13.5" customHeight="1">
      <c r="A115" s="90">
        <v>111.0</v>
      </c>
      <c r="B115" s="206">
        <v>45728.0</v>
      </c>
      <c r="C115" s="93">
        <v>125.0</v>
      </c>
      <c r="D115" s="93">
        <v>17.0</v>
      </c>
      <c r="E115" s="90">
        <v>1.0</v>
      </c>
      <c r="F115" s="90" t="s">
        <v>566</v>
      </c>
      <c r="G115" s="139">
        <v>45993.0</v>
      </c>
      <c r="H115" s="92" t="s">
        <v>561</v>
      </c>
      <c r="I115" s="90"/>
      <c r="J115" s="21"/>
      <c r="K115" s="21"/>
    </row>
    <row r="116" ht="13.5" customHeight="1">
      <c r="A116" s="90">
        <v>112.0</v>
      </c>
      <c r="B116" s="206">
        <v>45728.0</v>
      </c>
      <c r="C116" s="93">
        <v>132.0</v>
      </c>
      <c r="D116" s="93">
        <v>1.0</v>
      </c>
      <c r="E116" s="90">
        <v>2.0</v>
      </c>
      <c r="F116" s="90" t="s">
        <v>566</v>
      </c>
      <c r="G116" s="139">
        <v>45993.0</v>
      </c>
      <c r="H116" s="92" t="s">
        <v>561</v>
      </c>
      <c r="I116" s="90"/>
      <c r="J116" s="21"/>
      <c r="K116" s="21"/>
    </row>
    <row r="117" ht="13.5" customHeight="1">
      <c r="A117" s="90">
        <v>113.0</v>
      </c>
      <c r="B117" s="146">
        <v>45995.0</v>
      </c>
      <c r="C117" s="78">
        <v>42.0</v>
      </c>
      <c r="D117" s="78">
        <v>34.0</v>
      </c>
      <c r="E117" s="78">
        <v>8.0</v>
      </c>
      <c r="F117" s="92" t="s">
        <v>590</v>
      </c>
      <c r="G117" s="144">
        <v>45995.0</v>
      </c>
      <c r="H117" s="92" t="s">
        <v>561</v>
      </c>
      <c r="I117" s="85"/>
      <c r="J117" s="21"/>
      <c r="K117" s="21"/>
    </row>
    <row r="118" ht="13.5" customHeight="1">
      <c r="A118" s="90">
        <v>114.0</v>
      </c>
      <c r="B118" s="146">
        <v>45995.0</v>
      </c>
      <c r="C118" s="78">
        <v>53.0</v>
      </c>
      <c r="D118" s="78">
        <v>13.0</v>
      </c>
      <c r="E118" s="78">
        <v>13.0</v>
      </c>
      <c r="F118" s="92" t="s">
        <v>590</v>
      </c>
      <c r="G118" s="144">
        <v>45995.0</v>
      </c>
      <c r="H118" s="92" t="s">
        <v>561</v>
      </c>
      <c r="I118" s="85"/>
      <c r="J118" s="21"/>
      <c r="K118" s="21"/>
    </row>
    <row r="119" ht="13.5" customHeight="1">
      <c r="A119" s="90">
        <v>115.0</v>
      </c>
      <c r="B119" s="146">
        <v>45995.0</v>
      </c>
      <c r="C119" s="78">
        <v>67.0</v>
      </c>
      <c r="D119" s="78">
        <v>7.0</v>
      </c>
      <c r="E119" s="78">
        <v>16.0</v>
      </c>
      <c r="F119" s="92" t="s">
        <v>590</v>
      </c>
      <c r="G119" s="144">
        <v>45995.0</v>
      </c>
      <c r="H119" s="92" t="s">
        <v>561</v>
      </c>
      <c r="I119" s="85"/>
      <c r="J119" s="21"/>
      <c r="K119" s="21"/>
    </row>
    <row r="120" ht="13.5" customHeight="1">
      <c r="A120" s="90">
        <v>116.0</v>
      </c>
      <c r="B120" s="146">
        <v>45995.0</v>
      </c>
      <c r="C120" s="78">
        <v>107.0</v>
      </c>
      <c r="D120" s="78">
        <v>16.0</v>
      </c>
      <c r="E120" s="78">
        <v>3.0</v>
      </c>
      <c r="F120" s="78" t="s">
        <v>566</v>
      </c>
      <c r="G120" s="144">
        <v>45995.0</v>
      </c>
      <c r="H120" s="92" t="s">
        <v>561</v>
      </c>
      <c r="I120" s="85"/>
      <c r="J120" s="21"/>
      <c r="K120" s="21"/>
    </row>
    <row r="121" ht="13.5" customHeight="1">
      <c r="A121" s="90">
        <v>117.0</v>
      </c>
      <c r="B121" s="146">
        <v>45996.0</v>
      </c>
      <c r="C121" s="78">
        <v>53.0</v>
      </c>
      <c r="D121" s="78">
        <v>15.0</v>
      </c>
      <c r="E121" s="78">
        <v>13.0</v>
      </c>
      <c r="F121" s="78" t="s">
        <v>591</v>
      </c>
      <c r="G121" s="204">
        <v>45881.0</v>
      </c>
      <c r="H121" s="92" t="s">
        <v>561</v>
      </c>
      <c r="I121" s="85"/>
      <c r="J121" s="21"/>
      <c r="K121" s="21"/>
    </row>
    <row r="122" ht="13.5" customHeight="1">
      <c r="A122" s="90">
        <v>118.0</v>
      </c>
      <c r="B122" s="146">
        <v>45997.0</v>
      </c>
      <c r="C122" s="78">
        <v>83.0</v>
      </c>
      <c r="D122" s="78">
        <v>27.0</v>
      </c>
      <c r="E122" s="78">
        <v>3.0</v>
      </c>
      <c r="F122" s="78" t="s">
        <v>285</v>
      </c>
      <c r="G122" s="146">
        <v>45997.0</v>
      </c>
      <c r="H122" s="92" t="s">
        <v>561</v>
      </c>
      <c r="I122" s="79"/>
      <c r="J122" s="21"/>
      <c r="K122" s="21"/>
    </row>
    <row r="123" ht="13.5" customHeight="1">
      <c r="A123" s="90">
        <v>119.0</v>
      </c>
      <c r="B123" s="146">
        <v>45997.0</v>
      </c>
      <c r="C123" s="78">
        <v>83.0</v>
      </c>
      <c r="D123" s="78">
        <v>27.0</v>
      </c>
      <c r="E123" s="78">
        <v>2.0</v>
      </c>
      <c r="F123" s="78" t="s">
        <v>285</v>
      </c>
      <c r="G123" s="146">
        <v>45997.0</v>
      </c>
      <c r="H123" s="92" t="s">
        <v>561</v>
      </c>
      <c r="I123" s="79"/>
      <c r="J123" s="21"/>
      <c r="K123" s="21"/>
    </row>
    <row r="124" ht="13.5" customHeight="1">
      <c r="A124" s="90">
        <v>120.0</v>
      </c>
      <c r="B124" s="146">
        <v>45997.0</v>
      </c>
      <c r="C124" s="78">
        <v>83.0</v>
      </c>
      <c r="D124" s="78">
        <v>27.0</v>
      </c>
      <c r="E124" s="78">
        <v>1.0</v>
      </c>
      <c r="F124" s="78" t="s">
        <v>285</v>
      </c>
      <c r="G124" s="146">
        <v>45997.0</v>
      </c>
      <c r="H124" s="92" t="s">
        <v>561</v>
      </c>
      <c r="I124" s="79"/>
      <c r="J124" s="21"/>
      <c r="K124" s="21"/>
    </row>
    <row r="125" ht="13.5" customHeight="1">
      <c r="A125" s="90">
        <v>121.0</v>
      </c>
      <c r="B125" s="146">
        <v>45998.0</v>
      </c>
      <c r="C125" s="78">
        <v>33.0</v>
      </c>
      <c r="D125" s="78">
        <v>19.0</v>
      </c>
      <c r="E125" s="78">
        <v>1.0</v>
      </c>
      <c r="F125" s="78" t="s">
        <v>591</v>
      </c>
      <c r="G125" s="204">
        <v>45881.0</v>
      </c>
      <c r="H125" s="92" t="s">
        <v>561</v>
      </c>
      <c r="I125" s="85"/>
      <c r="J125" s="21"/>
      <c r="K125" s="21"/>
    </row>
    <row r="126" ht="13.5" customHeight="1">
      <c r="A126" s="90">
        <v>122.0</v>
      </c>
      <c r="B126" s="146">
        <v>45998.0</v>
      </c>
      <c r="C126" s="78">
        <v>43.0</v>
      </c>
      <c r="D126" s="78">
        <v>10.0</v>
      </c>
      <c r="E126" s="78">
        <v>8.0</v>
      </c>
      <c r="F126" s="78" t="s">
        <v>591</v>
      </c>
      <c r="G126" s="204">
        <v>45881.0</v>
      </c>
      <c r="H126" s="92" t="s">
        <v>561</v>
      </c>
      <c r="I126" s="85"/>
      <c r="J126" s="21"/>
      <c r="K126" s="21"/>
    </row>
    <row r="127" ht="13.5" customHeight="1">
      <c r="A127" s="90">
        <v>123.0</v>
      </c>
      <c r="B127" s="146">
        <v>45998.0</v>
      </c>
      <c r="C127" s="78">
        <v>53.0</v>
      </c>
      <c r="D127" s="78">
        <v>28.0</v>
      </c>
      <c r="E127" s="78">
        <v>11.0</v>
      </c>
      <c r="F127" s="78" t="s">
        <v>591</v>
      </c>
      <c r="G127" s="204">
        <v>45881.0</v>
      </c>
      <c r="H127" s="92" t="s">
        <v>561</v>
      </c>
      <c r="I127" s="85"/>
      <c r="J127" s="21"/>
      <c r="K127" s="21"/>
    </row>
    <row r="128" ht="13.5" customHeight="1">
      <c r="A128" s="90">
        <v>124.0</v>
      </c>
      <c r="B128" s="146">
        <v>45998.0</v>
      </c>
      <c r="C128" s="78">
        <v>93.0</v>
      </c>
      <c r="D128" s="78">
        <v>28.0</v>
      </c>
      <c r="E128" s="78">
        <v>5.0</v>
      </c>
      <c r="F128" s="78" t="s">
        <v>592</v>
      </c>
      <c r="G128" s="205">
        <v>45912.0</v>
      </c>
      <c r="H128" s="92" t="s">
        <v>561</v>
      </c>
      <c r="I128" s="85"/>
      <c r="J128" s="21"/>
      <c r="K128" s="21"/>
    </row>
    <row r="129" ht="13.5" customHeight="1">
      <c r="A129" s="90">
        <v>125.0</v>
      </c>
      <c r="B129" s="146">
        <v>45998.0</v>
      </c>
      <c r="C129" s="78">
        <v>93.0</v>
      </c>
      <c r="D129" s="78">
        <v>33.0</v>
      </c>
      <c r="E129" s="78">
        <v>12.0</v>
      </c>
      <c r="F129" s="78" t="s">
        <v>592</v>
      </c>
      <c r="G129" s="205">
        <v>45912.0</v>
      </c>
      <c r="H129" s="92" t="s">
        <v>561</v>
      </c>
      <c r="I129" s="85"/>
      <c r="J129" s="21"/>
      <c r="K129" s="21"/>
    </row>
    <row r="130" ht="13.5" customHeight="1">
      <c r="A130" s="90">
        <v>126.0</v>
      </c>
      <c r="B130" s="146">
        <v>45998.0</v>
      </c>
      <c r="C130" s="78">
        <v>94.0</v>
      </c>
      <c r="D130" s="78">
        <v>28.0</v>
      </c>
      <c r="E130" s="78">
        <v>15.0</v>
      </c>
      <c r="F130" s="78" t="s">
        <v>593</v>
      </c>
      <c r="G130" s="78" t="s">
        <v>594</v>
      </c>
      <c r="H130" s="92" t="s">
        <v>561</v>
      </c>
      <c r="I130" s="78" t="s">
        <v>595</v>
      </c>
      <c r="J130" s="21"/>
      <c r="K130" s="21"/>
    </row>
    <row r="131" ht="13.5" customHeight="1">
      <c r="A131" s="90">
        <v>127.0</v>
      </c>
      <c r="B131" s="146">
        <v>45998.0</v>
      </c>
      <c r="C131" s="78">
        <v>104.0</v>
      </c>
      <c r="D131" s="78">
        <v>1.0</v>
      </c>
      <c r="E131" s="78">
        <v>1.0</v>
      </c>
      <c r="F131" s="78" t="s">
        <v>596</v>
      </c>
      <c r="G131" s="146">
        <v>46001.0</v>
      </c>
      <c r="H131" s="92" t="s">
        <v>561</v>
      </c>
      <c r="I131" s="85"/>
      <c r="J131" s="21"/>
      <c r="K131" s="21"/>
    </row>
    <row r="132" ht="13.5" customHeight="1">
      <c r="A132" s="90">
        <v>128.0</v>
      </c>
      <c r="B132" s="146">
        <v>45998.0</v>
      </c>
      <c r="C132" s="78">
        <v>104.0</v>
      </c>
      <c r="D132" s="78">
        <v>36.0</v>
      </c>
      <c r="E132" s="78">
        <v>11.0</v>
      </c>
      <c r="F132" s="78" t="s">
        <v>597</v>
      </c>
      <c r="G132" s="78" t="s">
        <v>598</v>
      </c>
      <c r="H132" s="92" t="s">
        <v>561</v>
      </c>
      <c r="I132" s="85"/>
      <c r="J132" s="21"/>
      <c r="K132" s="21"/>
    </row>
    <row r="133" ht="13.5" customHeight="1">
      <c r="A133" s="90">
        <v>129.0</v>
      </c>
      <c r="B133" s="146">
        <v>45998.0</v>
      </c>
      <c r="C133" s="78">
        <v>122.0</v>
      </c>
      <c r="D133" s="78">
        <v>13.0</v>
      </c>
      <c r="E133" s="78">
        <v>9.0</v>
      </c>
      <c r="F133" s="78" t="s">
        <v>591</v>
      </c>
      <c r="G133" s="204">
        <v>45881.0</v>
      </c>
      <c r="H133" s="92" t="s">
        <v>561</v>
      </c>
      <c r="I133" s="85"/>
      <c r="J133" s="21"/>
      <c r="K133" s="21"/>
    </row>
    <row r="134" ht="13.5" customHeight="1">
      <c r="A134" s="90">
        <v>130.0</v>
      </c>
      <c r="B134" s="146">
        <v>45998.0</v>
      </c>
      <c r="C134" s="78">
        <v>122.0</v>
      </c>
      <c r="D134" s="78">
        <v>16.0</v>
      </c>
      <c r="E134" s="78">
        <v>1.0</v>
      </c>
      <c r="F134" s="78" t="s">
        <v>591</v>
      </c>
      <c r="G134" s="204">
        <v>45881.0</v>
      </c>
      <c r="H134" s="92" t="s">
        <v>561</v>
      </c>
      <c r="I134" s="85"/>
      <c r="J134" s="21"/>
      <c r="K134" s="21"/>
    </row>
    <row r="135" ht="13.5" customHeight="1">
      <c r="A135" s="90">
        <v>131.0</v>
      </c>
      <c r="B135" s="146">
        <v>45999.0</v>
      </c>
      <c r="C135" s="78">
        <v>33.0</v>
      </c>
      <c r="D135" s="78">
        <v>1.0</v>
      </c>
      <c r="E135" s="78">
        <v>1.0</v>
      </c>
      <c r="F135" s="78" t="s">
        <v>591</v>
      </c>
      <c r="G135" s="204">
        <v>45881.0</v>
      </c>
      <c r="H135" s="92" t="s">
        <v>561</v>
      </c>
      <c r="I135" s="85"/>
      <c r="J135" s="21"/>
      <c r="K135" s="21"/>
    </row>
    <row r="136" ht="13.5" customHeight="1">
      <c r="A136" s="90">
        <v>132.0</v>
      </c>
      <c r="B136" s="146">
        <v>45999.0</v>
      </c>
      <c r="C136" s="78">
        <v>93.0</v>
      </c>
      <c r="D136" s="78">
        <v>29.0</v>
      </c>
      <c r="E136" s="78">
        <v>2.0</v>
      </c>
      <c r="F136" s="78" t="s">
        <v>592</v>
      </c>
      <c r="G136" s="205">
        <v>45912.0</v>
      </c>
      <c r="H136" s="92" t="s">
        <v>561</v>
      </c>
      <c r="I136" s="85"/>
      <c r="J136" s="21"/>
      <c r="K136" s="21"/>
    </row>
    <row r="137" ht="13.5" customHeight="1">
      <c r="A137" s="90">
        <v>133.0</v>
      </c>
      <c r="B137" s="205">
        <v>45912.0</v>
      </c>
      <c r="C137" s="78">
        <v>26.0</v>
      </c>
      <c r="D137" s="78">
        <v>16.0</v>
      </c>
      <c r="E137" s="78">
        <v>16.0</v>
      </c>
      <c r="F137" s="78" t="s">
        <v>592</v>
      </c>
      <c r="G137" s="205">
        <v>45912.0</v>
      </c>
      <c r="H137" s="92" t="s">
        <v>561</v>
      </c>
      <c r="I137" s="85"/>
      <c r="J137" s="21"/>
      <c r="K137" s="21"/>
    </row>
    <row r="138" ht="13.5" customHeight="1">
      <c r="A138" s="90">
        <v>134.0</v>
      </c>
      <c r="B138" s="205">
        <v>45912.0</v>
      </c>
      <c r="C138" s="78">
        <v>29.0</v>
      </c>
      <c r="D138" s="78">
        <v>34.0</v>
      </c>
      <c r="E138" s="78">
        <v>12.0</v>
      </c>
      <c r="F138" s="78" t="s">
        <v>592</v>
      </c>
      <c r="G138" s="205">
        <v>45912.0</v>
      </c>
      <c r="H138" s="92" t="s">
        <v>561</v>
      </c>
      <c r="I138" s="85"/>
      <c r="J138" s="21"/>
      <c r="K138" s="21"/>
    </row>
    <row r="139" ht="13.5" customHeight="1">
      <c r="A139" s="90">
        <v>135.0</v>
      </c>
      <c r="B139" s="205">
        <v>45912.0</v>
      </c>
      <c r="C139" s="78">
        <v>29.0</v>
      </c>
      <c r="D139" s="78">
        <v>36.0</v>
      </c>
      <c r="E139" s="78">
        <v>4.0</v>
      </c>
      <c r="F139" s="78" t="s">
        <v>592</v>
      </c>
      <c r="G139" s="205">
        <v>45912.0</v>
      </c>
      <c r="H139" s="92" t="s">
        <v>561</v>
      </c>
      <c r="I139" s="85"/>
      <c r="J139" s="21"/>
      <c r="K139" s="21"/>
    </row>
    <row r="140" ht="13.5" customHeight="1">
      <c r="A140" s="90">
        <v>136.0</v>
      </c>
      <c r="B140" s="205">
        <v>45912.0</v>
      </c>
      <c r="C140" s="78">
        <v>35.0</v>
      </c>
      <c r="D140" s="78">
        <v>26.0</v>
      </c>
      <c r="E140" s="78">
        <v>13.0</v>
      </c>
      <c r="F140" s="78" t="s">
        <v>592</v>
      </c>
      <c r="G140" s="78" t="s">
        <v>598</v>
      </c>
      <c r="H140" s="92" t="s">
        <v>561</v>
      </c>
      <c r="I140" s="85"/>
      <c r="J140" s="21"/>
      <c r="K140" s="21"/>
    </row>
    <row r="141" ht="13.5" customHeight="1">
      <c r="A141" s="90">
        <v>137.0</v>
      </c>
      <c r="B141" s="205">
        <v>45912.0</v>
      </c>
      <c r="C141" s="78">
        <v>58.0</v>
      </c>
      <c r="D141" s="78">
        <v>1.0</v>
      </c>
      <c r="E141" s="78">
        <v>6.0</v>
      </c>
      <c r="F141" s="78" t="s">
        <v>599</v>
      </c>
      <c r="G141" s="78" t="s">
        <v>598</v>
      </c>
      <c r="H141" s="92" t="s">
        <v>561</v>
      </c>
      <c r="I141" s="85"/>
      <c r="J141" s="21"/>
      <c r="K141" s="21"/>
    </row>
    <row r="142" ht="13.5" customHeight="1">
      <c r="A142" s="90">
        <v>138.0</v>
      </c>
      <c r="B142" s="207">
        <v>45942.0</v>
      </c>
      <c r="C142" s="78">
        <v>4.0</v>
      </c>
      <c r="D142" s="78">
        <v>17.0</v>
      </c>
      <c r="E142" s="78">
        <v>13.0</v>
      </c>
      <c r="F142" s="78" t="s">
        <v>596</v>
      </c>
      <c r="G142" s="207">
        <v>45942.0</v>
      </c>
      <c r="H142" s="92" t="s">
        <v>561</v>
      </c>
      <c r="I142" s="85"/>
      <c r="J142" s="21"/>
      <c r="K142" s="21"/>
    </row>
    <row r="143" ht="13.5" customHeight="1">
      <c r="A143" s="90">
        <v>139.0</v>
      </c>
      <c r="B143" s="207">
        <v>45942.0</v>
      </c>
      <c r="C143" s="78">
        <v>11.0</v>
      </c>
      <c r="D143" s="78">
        <v>33.0</v>
      </c>
      <c r="E143" s="78">
        <v>13.0</v>
      </c>
      <c r="F143" s="78" t="s">
        <v>596</v>
      </c>
      <c r="G143" s="207">
        <v>45942.0</v>
      </c>
      <c r="H143" s="92" t="s">
        <v>561</v>
      </c>
      <c r="I143" s="85"/>
      <c r="J143" s="21"/>
      <c r="K143" s="21"/>
    </row>
    <row r="144" ht="13.5" customHeight="1">
      <c r="A144" s="90">
        <v>140.0</v>
      </c>
      <c r="B144" s="207">
        <v>45942.0</v>
      </c>
      <c r="C144" s="78">
        <v>11.0</v>
      </c>
      <c r="D144" s="78">
        <v>33.0</v>
      </c>
      <c r="E144" s="78">
        <v>14.0</v>
      </c>
      <c r="F144" s="78" t="s">
        <v>596</v>
      </c>
      <c r="G144" s="207">
        <v>45942.0</v>
      </c>
      <c r="H144" s="92" t="s">
        <v>561</v>
      </c>
      <c r="I144" s="85"/>
      <c r="J144" s="21"/>
      <c r="K144" s="21"/>
    </row>
    <row r="145" ht="13.5" customHeight="1">
      <c r="A145" s="90">
        <v>141.0</v>
      </c>
      <c r="B145" s="207">
        <v>45942.0</v>
      </c>
      <c r="C145" s="78">
        <v>11.0</v>
      </c>
      <c r="D145" s="78">
        <v>33.0</v>
      </c>
      <c r="E145" s="78">
        <v>15.0</v>
      </c>
      <c r="F145" s="78" t="s">
        <v>596</v>
      </c>
      <c r="G145" s="207">
        <v>45942.0</v>
      </c>
      <c r="H145" s="92" t="s">
        <v>561</v>
      </c>
      <c r="I145" s="85"/>
      <c r="J145" s="21"/>
      <c r="K145" s="21"/>
    </row>
    <row r="146" ht="13.5" customHeight="1">
      <c r="A146" s="90">
        <v>142.0</v>
      </c>
      <c r="B146" s="207">
        <v>45942.0</v>
      </c>
      <c r="C146" s="78">
        <v>11.0</v>
      </c>
      <c r="D146" s="78">
        <v>33.0</v>
      </c>
      <c r="E146" s="78">
        <v>16.0</v>
      </c>
      <c r="F146" s="78" t="s">
        <v>596</v>
      </c>
      <c r="G146" s="207">
        <v>45942.0</v>
      </c>
      <c r="H146" s="92" t="s">
        <v>561</v>
      </c>
      <c r="I146" s="85"/>
      <c r="J146" s="21"/>
      <c r="K146" s="21"/>
    </row>
    <row r="147" ht="13.5" customHeight="1">
      <c r="A147" s="90">
        <v>143.0</v>
      </c>
      <c r="B147" s="207">
        <v>45942.0</v>
      </c>
      <c r="C147" s="78">
        <v>26.0</v>
      </c>
      <c r="D147" s="78">
        <v>16.0</v>
      </c>
      <c r="E147" s="78">
        <v>16.0</v>
      </c>
      <c r="F147" s="78" t="s">
        <v>314</v>
      </c>
      <c r="G147" s="146">
        <v>46022.0</v>
      </c>
      <c r="H147" s="78" t="s">
        <v>69</v>
      </c>
      <c r="I147" s="78" t="s">
        <v>600</v>
      </c>
      <c r="J147" s="21"/>
      <c r="K147" s="21"/>
    </row>
    <row r="148" ht="13.5" customHeight="1">
      <c r="A148" s="90">
        <v>144.0</v>
      </c>
      <c r="B148" s="207">
        <v>45942.0</v>
      </c>
      <c r="C148" s="78">
        <v>59.0</v>
      </c>
      <c r="D148" s="78">
        <v>12.0</v>
      </c>
      <c r="E148" s="78">
        <v>12.0</v>
      </c>
      <c r="F148" s="78" t="s">
        <v>596</v>
      </c>
      <c r="G148" s="207">
        <v>45942.0</v>
      </c>
      <c r="H148" s="78" t="s">
        <v>69</v>
      </c>
      <c r="I148" s="85"/>
      <c r="J148" s="21"/>
      <c r="K148" s="21"/>
    </row>
    <row r="149" ht="13.5" customHeight="1">
      <c r="A149" s="90">
        <v>145.0</v>
      </c>
      <c r="B149" s="207">
        <v>45942.0</v>
      </c>
      <c r="C149" s="78">
        <v>126.0</v>
      </c>
      <c r="D149" s="78">
        <v>5.0</v>
      </c>
      <c r="E149" s="78">
        <v>16.0</v>
      </c>
      <c r="F149" s="78" t="s">
        <v>593</v>
      </c>
      <c r="G149" s="78" t="s">
        <v>594</v>
      </c>
      <c r="H149" s="78" t="s">
        <v>69</v>
      </c>
      <c r="I149" s="78" t="s">
        <v>601</v>
      </c>
      <c r="J149" s="21"/>
      <c r="K149" s="21"/>
    </row>
    <row r="150" ht="13.5" customHeight="1">
      <c r="A150" s="90">
        <v>146.0</v>
      </c>
      <c r="B150" s="207">
        <v>45973.0</v>
      </c>
      <c r="C150" s="78">
        <v>36.0</v>
      </c>
      <c r="D150" s="78">
        <v>11.0</v>
      </c>
      <c r="E150" s="78">
        <v>3.0</v>
      </c>
      <c r="F150" s="78" t="s">
        <v>602</v>
      </c>
      <c r="G150" s="78" t="s">
        <v>598</v>
      </c>
      <c r="H150" s="78" t="s">
        <v>69</v>
      </c>
      <c r="I150" s="85"/>
      <c r="J150" s="21"/>
      <c r="K150" s="21"/>
    </row>
    <row r="151" ht="13.5" customHeight="1">
      <c r="A151" s="90">
        <v>147.0</v>
      </c>
      <c r="B151" s="207">
        <v>45973.0</v>
      </c>
      <c r="C151" s="78">
        <v>17.0</v>
      </c>
      <c r="D151" s="78">
        <v>27.0</v>
      </c>
      <c r="E151" s="78">
        <v>7.0</v>
      </c>
      <c r="F151" s="78" t="s">
        <v>596</v>
      </c>
      <c r="G151" s="207">
        <v>45973.0</v>
      </c>
      <c r="H151" s="78" t="s">
        <v>69</v>
      </c>
      <c r="I151" s="85"/>
      <c r="J151" s="21"/>
      <c r="K151" s="21"/>
    </row>
    <row r="152" ht="13.5" customHeight="1">
      <c r="A152" s="90">
        <v>148.0</v>
      </c>
      <c r="B152" s="207">
        <v>45973.0</v>
      </c>
      <c r="C152" s="78">
        <v>53.0</v>
      </c>
      <c r="D152" s="78">
        <v>10.0</v>
      </c>
      <c r="E152" s="78">
        <v>8.0</v>
      </c>
      <c r="F152" s="78" t="s">
        <v>596</v>
      </c>
      <c r="G152" s="78" t="s">
        <v>598</v>
      </c>
      <c r="H152" s="78" t="s">
        <v>69</v>
      </c>
      <c r="I152" s="85"/>
      <c r="J152" s="21"/>
      <c r="K152" s="21"/>
    </row>
    <row r="153" ht="13.5" customHeight="1">
      <c r="A153" s="90">
        <v>149.0</v>
      </c>
      <c r="B153" s="207">
        <v>45973.0</v>
      </c>
      <c r="C153" s="78">
        <v>59.0</v>
      </c>
      <c r="D153" s="78">
        <v>25.0</v>
      </c>
      <c r="E153" s="78">
        <v>12.0</v>
      </c>
      <c r="F153" s="78" t="s">
        <v>603</v>
      </c>
      <c r="G153" s="78" t="s">
        <v>598</v>
      </c>
      <c r="H153" s="78" t="s">
        <v>69</v>
      </c>
      <c r="I153" s="85"/>
      <c r="J153" s="21"/>
      <c r="K153" s="21"/>
    </row>
    <row r="154" ht="13.5" customHeight="1">
      <c r="A154" s="90">
        <v>150.0</v>
      </c>
      <c r="B154" s="207">
        <v>45973.0</v>
      </c>
      <c r="C154" s="78">
        <v>105.0</v>
      </c>
      <c r="D154" s="78">
        <v>32.0</v>
      </c>
      <c r="E154" s="78">
        <v>12.0</v>
      </c>
      <c r="F154" s="78" t="s">
        <v>602</v>
      </c>
      <c r="G154" s="207">
        <v>46003.0</v>
      </c>
      <c r="H154" s="78" t="s">
        <v>69</v>
      </c>
      <c r="I154" s="85"/>
      <c r="J154" s="21"/>
      <c r="K154" s="21"/>
    </row>
    <row r="155" ht="13.5" customHeight="1">
      <c r="A155" s="90">
        <v>151.0</v>
      </c>
      <c r="B155" s="207">
        <v>45973.0</v>
      </c>
      <c r="C155" s="78">
        <v>107.0</v>
      </c>
      <c r="D155" s="78">
        <v>16.0</v>
      </c>
      <c r="E155" s="78">
        <v>3.0</v>
      </c>
      <c r="F155" s="78" t="s">
        <v>604</v>
      </c>
      <c r="G155" s="78" t="s">
        <v>605</v>
      </c>
      <c r="H155" s="78" t="s">
        <v>69</v>
      </c>
      <c r="I155" s="78" t="s">
        <v>606</v>
      </c>
      <c r="J155" s="21"/>
      <c r="K155" s="21"/>
    </row>
    <row r="156" ht="13.5" customHeight="1">
      <c r="A156" s="90">
        <v>152.0</v>
      </c>
      <c r="B156" s="207">
        <v>46003.0</v>
      </c>
      <c r="C156" s="78">
        <v>17.0</v>
      </c>
      <c r="D156" s="78">
        <v>27.0</v>
      </c>
      <c r="E156" s="78">
        <v>7.0</v>
      </c>
      <c r="F156" s="78" t="s">
        <v>607</v>
      </c>
      <c r="G156" s="78" t="s">
        <v>598</v>
      </c>
      <c r="H156" s="78" t="s">
        <v>69</v>
      </c>
      <c r="I156" s="85"/>
      <c r="J156" s="21"/>
      <c r="K156" s="21"/>
    </row>
    <row r="157" ht="13.5" customHeight="1">
      <c r="A157" s="90">
        <v>153.0</v>
      </c>
      <c r="B157" s="207">
        <v>46003.0</v>
      </c>
      <c r="C157" s="78">
        <v>42.0</v>
      </c>
      <c r="D157" s="78">
        <v>28.0</v>
      </c>
      <c r="E157" s="78">
        <v>13.0</v>
      </c>
      <c r="F157" s="78" t="s">
        <v>592</v>
      </c>
      <c r="G157" s="78" t="s">
        <v>608</v>
      </c>
      <c r="H157" s="78" t="s">
        <v>69</v>
      </c>
      <c r="I157" s="85"/>
      <c r="J157" s="21"/>
      <c r="K157" s="21"/>
    </row>
    <row r="158" ht="13.5" customHeight="1">
      <c r="A158" s="90">
        <v>154.0</v>
      </c>
      <c r="B158" s="207">
        <v>46003.0</v>
      </c>
      <c r="C158" s="78">
        <v>107.0</v>
      </c>
      <c r="D158" s="78">
        <v>16.0</v>
      </c>
      <c r="E158" s="78">
        <v>4.0</v>
      </c>
      <c r="F158" s="78" t="s">
        <v>607</v>
      </c>
      <c r="G158" s="78" t="s">
        <v>598</v>
      </c>
      <c r="H158" s="78" t="s">
        <v>69</v>
      </c>
      <c r="I158" s="85"/>
      <c r="J158" s="21"/>
      <c r="K158" s="21"/>
    </row>
    <row r="159" ht="13.5" customHeight="1">
      <c r="A159" s="90">
        <v>155.0</v>
      </c>
      <c r="B159" s="78" t="s">
        <v>598</v>
      </c>
      <c r="C159" s="78">
        <v>108.0</v>
      </c>
      <c r="D159" s="78">
        <v>3.0</v>
      </c>
      <c r="E159" s="78">
        <v>1.0</v>
      </c>
      <c r="F159" s="78" t="s">
        <v>609</v>
      </c>
      <c r="G159" s="78" t="s">
        <v>610</v>
      </c>
      <c r="H159" s="78" t="s">
        <v>69</v>
      </c>
      <c r="I159" s="78" t="s">
        <v>611</v>
      </c>
      <c r="J159" s="21"/>
      <c r="K159" s="21"/>
    </row>
    <row r="160" ht="13.5" customHeight="1">
      <c r="A160" s="90">
        <v>156.0</v>
      </c>
      <c r="B160" s="78" t="s">
        <v>605</v>
      </c>
      <c r="C160" s="78">
        <v>17.0</v>
      </c>
      <c r="D160" s="78">
        <v>27.0</v>
      </c>
      <c r="E160" s="78">
        <v>6.0</v>
      </c>
      <c r="F160" s="78" t="s">
        <v>612</v>
      </c>
      <c r="G160" s="78" t="s">
        <v>605</v>
      </c>
      <c r="H160" s="78" t="s">
        <v>69</v>
      </c>
      <c r="I160" s="85"/>
      <c r="J160" s="21"/>
      <c r="K160" s="21"/>
    </row>
    <row r="161" ht="13.5" customHeight="1">
      <c r="A161" s="90">
        <v>157.0</v>
      </c>
      <c r="B161" s="78" t="s">
        <v>605</v>
      </c>
      <c r="C161" s="78">
        <v>35.0</v>
      </c>
      <c r="D161" s="78">
        <v>26.0</v>
      </c>
      <c r="E161" s="78">
        <v>13.0</v>
      </c>
      <c r="F161" s="78" t="s">
        <v>607</v>
      </c>
      <c r="G161" s="78" t="s">
        <v>613</v>
      </c>
      <c r="H161" s="78" t="s">
        <v>69</v>
      </c>
      <c r="I161" s="78" t="s">
        <v>614</v>
      </c>
      <c r="J161" s="21"/>
      <c r="K161" s="21"/>
    </row>
    <row r="162" ht="13.5" customHeight="1">
      <c r="A162" s="90">
        <v>158.0</v>
      </c>
      <c r="B162" s="78" t="s">
        <v>605</v>
      </c>
      <c r="C162" s="78">
        <v>41.0</v>
      </c>
      <c r="D162" s="78">
        <v>23.0</v>
      </c>
      <c r="E162" s="78">
        <v>7.0</v>
      </c>
      <c r="F162" s="78" t="s">
        <v>615</v>
      </c>
      <c r="G162" s="78" t="s">
        <v>616</v>
      </c>
      <c r="H162" s="78" t="s">
        <v>69</v>
      </c>
      <c r="I162" s="78" t="s">
        <v>614</v>
      </c>
      <c r="J162" s="21"/>
      <c r="K162" s="21"/>
    </row>
    <row r="163" ht="13.5" customHeight="1">
      <c r="A163" s="90">
        <v>159.0</v>
      </c>
      <c r="B163" s="78" t="s">
        <v>605</v>
      </c>
      <c r="C163" s="78">
        <v>107.0</v>
      </c>
      <c r="D163" s="78">
        <v>16.0</v>
      </c>
      <c r="E163" s="78">
        <v>7.0</v>
      </c>
      <c r="F163" s="78" t="s">
        <v>604</v>
      </c>
      <c r="G163" s="78" t="s">
        <v>605</v>
      </c>
      <c r="H163" s="78" t="s">
        <v>69</v>
      </c>
      <c r="I163" s="78" t="s">
        <v>614</v>
      </c>
      <c r="J163" s="21"/>
      <c r="K163" s="21"/>
    </row>
    <row r="164" ht="13.5" customHeight="1">
      <c r="A164" s="90">
        <v>160.0</v>
      </c>
      <c r="B164" s="78" t="s">
        <v>617</v>
      </c>
      <c r="C164" s="78">
        <v>20.0</v>
      </c>
      <c r="D164" s="78">
        <v>29.0</v>
      </c>
      <c r="E164" s="78">
        <v>7.0</v>
      </c>
      <c r="F164" s="78" t="s">
        <v>618</v>
      </c>
      <c r="G164" s="78" t="s">
        <v>617</v>
      </c>
      <c r="H164" s="78" t="s">
        <v>69</v>
      </c>
      <c r="I164" s="85"/>
      <c r="J164" s="21"/>
      <c r="K164" s="21"/>
    </row>
    <row r="165" ht="13.5" customHeight="1">
      <c r="A165" s="90">
        <v>161.0</v>
      </c>
      <c r="B165" s="78" t="s">
        <v>617</v>
      </c>
      <c r="C165" s="78">
        <v>26.0</v>
      </c>
      <c r="D165" s="78">
        <v>30.0</v>
      </c>
      <c r="E165" s="78">
        <v>16.0</v>
      </c>
      <c r="F165" s="78" t="s">
        <v>618</v>
      </c>
      <c r="G165" s="78" t="s">
        <v>617</v>
      </c>
      <c r="H165" s="78" t="s">
        <v>69</v>
      </c>
      <c r="I165" s="85"/>
      <c r="J165" s="21"/>
      <c r="K165" s="21"/>
    </row>
    <row r="166" ht="13.5" customHeight="1">
      <c r="A166" s="90">
        <v>162.0</v>
      </c>
      <c r="B166" s="78" t="s">
        <v>617</v>
      </c>
      <c r="C166" s="78">
        <v>67.0</v>
      </c>
      <c r="D166" s="78">
        <v>11.0</v>
      </c>
      <c r="E166" s="78">
        <v>2.0</v>
      </c>
      <c r="F166" s="78" t="s">
        <v>618</v>
      </c>
      <c r="G166" s="78" t="s">
        <v>617</v>
      </c>
      <c r="H166" s="78" t="s">
        <v>69</v>
      </c>
      <c r="I166" s="85"/>
      <c r="J166" s="21"/>
      <c r="K166" s="21"/>
    </row>
    <row r="167" ht="13.5" customHeight="1">
      <c r="A167" s="90">
        <v>163.0</v>
      </c>
      <c r="B167" s="78" t="s">
        <v>617</v>
      </c>
      <c r="C167" s="78">
        <v>121.0</v>
      </c>
      <c r="D167" s="78">
        <v>15.0</v>
      </c>
      <c r="E167" s="78">
        <v>7.0</v>
      </c>
      <c r="F167" s="78" t="s">
        <v>599</v>
      </c>
      <c r="G167" s="78" t="s">
        <v>617</v>
      </c>
      <c r="H167" s="78" t="s">
        <v>69</v>
      </c>
      <c r="I167" s="85"/>
      <c r="J167" s="21"/>
      <c r="K167" s="21"/>
    </row>
    <row r="168" ht="13.5" customHeight="1">
      <c r="A168" s="90">
        <v>164.0</v>
      </c>
      <c r="B168" s="78" t="s">
        <v>619</v>
      </c>
      <c r="C168" s="78">
        <v>30.0</v>
      </c>
      <c r="D168" s="78">
        <v>19.0</v>
      </c>
      <c r="E168" s="78">
        <v>4.0</v>
      </c>
      <c r="F168" s="78" t="s">
        <v>599</v>
      </c>
      <c r="G168" s="78" t="s">
        <v>619</v>
      </c>
      <c r="H168" s="78" t="s">
        <v>69</v>
      </c>
      <c r="I168" s="85"/>
      <c r="J168" s="21"/>
      <c r="K168" s="21"/>
    </row>
    <row r="169" ht="13.5" customHeight="1">
      <c r="A169" s="90">
        <v>165.0</v>
      </c>
      <c r="B169" s="78" t="s">
        <v>619</v>
      </c>
      <c r="C169" s="78">
        <v>56.0</v>
      </c>
      <c r="D169" s="78">
        <v>8.0</v>
      </c>
      <c r="E169" s="78">
        <v>13.0</v>
      </c>
      <c r="F169" s="78" t="s">
        <v>620</v>
      </c>
      <c r="G169" s="78" t="s">
        <v>619</v>
      </c>
      <c r="H169" s="78" t="s">
        <v>69</v>
      </c>
      <c r="I169" s="85"/>
      <c r="J169" s="21"/>
      <c r="K169" s="21"/>
    </row>
    <row r="170" ht="13.5" customHeight="1">
      <c r="A170" s="90">
        <v>166.0</v>
      </c>
      <c r="B170" s="78" t="s">
        <v>619</v>
      </c>
      <c r="C170" s="78">
        <v>56.0</v>
      </c>
      <c r="D170" s="78">
        <v>8.0</v>
      </c>
      <c r="E170" s="78">
        <v>14.0</v>
      </c>
      <c r="F170" s="78" t="s">
        <v>587</v>
      </c>
      <c r="G170" s="78" t="s">
        <v>616</v>
      </c>
      <c r="H170" s="78" t="s">
        <v>69</v>
      </c>
      <c r="I170" s="85"/>
      <c r="J170" s="21"/>
      <c r="K170" s="21"/>
    </row>
    <row r="171" ht="13.5" customHeight="1">
      <c r="A171" s="90">
        <v>167.0</v>
      </c>
      <c r="B171" s="78" t="s">
        <v>619</v>
      </c>
      <c r="C171" s="78">
        <v>56.0</v>
      </c>
      <c r="D171" s="78">
        <v>8.0</v>
      </c>
      <c r="E171" s="78">
        <v>15.0</v>
      </c>
      <c r="F171" s="78" t="s">
        <v>620</v>
      </c>
      <c r="G171" s="78" t="s">
        <v>619</v>
      </c>
      <c r="H171" s="78" t="s">
        <v>69</v>
      </c>
      <c r="I171" s="85"/>
      <c r="J171" s="21"/>
      <c r="K171" s="21"/>
    </row>
    <row r="172" ht="13.5" customHeight="1">
      <c r="A172" s="90">
        <v>168.0</v>
      </c>
      <c r="B172" s="78" t="s">
        <v>619</v>
      </c>
      <c r="C172" s="78">
        <v>56.0</v>
      </c>
      <c r="D172" s="78">
        <v>8.0</v>
      </c>
      <c r="E172" s="78">
        <v>16.0</v>
      </c>
      <c r="F172" s="78" t="s">
        <v>620</v>
      </c>
      <c r="G172" s="78" t="s">
        <v>619</v>
      </c>
      <c r="H172" s="78" t="s">
        <v>69</v>
      </c>
      <c r="I172" s="85"/>
      <c r="J172" s="21"/>
      <c r="K172" s="21"/>
    </row>
    <row r="173" ht="13.5" customHeight="1">
      <c r="A173" s="90">
        <v>169.0</v>
      </c>
      <c r="B173" s="78" t="s">
        <v>619</v>
      </c>
      <c r="C173" s="78">
        <v>58.0</v>
      </c>
      <c r="D173" s="78">
        <v>23.0</v>
      </c>
      <c r="E173" s="78">
        <v>14.0</v>
      </c>
      <c r="F173" s="78" t="s">
        <v>621</v>
      </c>
      <c r="G173" s="146">
        <v>46019.0</v>
      </c>
      <c r="H173" s="78" t="s">
        <v>69</v>
      </c>
      <c r="I173" s="78" t="s">
        <v>622</v>
      </c>
      <c r="J173" s="21"/>
      <c r="K173" s="21"/>
    </row>
    <row r="174" ht="13.5" customHeight="1">
      <c r="A174" s="90">
        <v>170.0</v>
      </c>
      <c r="B174" s="78" t="s">
        <v>616</v>
      </c>
      <c r="C174" s="78">
        <v>60.0</v>
      </c>
      <c r="D174" s="78">
        <v>18.0</v>
      </c>
      <c r="E174" s="78">
        <v>7.0</v>
      </c>
      <c r="F174" s="78" t="s">
        <v>559</v>
      </c>
      <c r="G174" s="78" t="s">
        <v>616</v>
      </c>
      <c r="H174" s="78" t="s">
        <v>69</v>
      </c>
      <c r="I174" s="85"/>
      <c r="J174" s="21"/>
      <c r="K174" s="21"/>
    </row>
    <row r="175" ht="13.5" customHeight="1">
      <c r="A175" s="90">
        <v>171.0</v>
      </c>
      <c r="B175" s="78" t="s">
        <v>616</v>
      </c>
      <c r="C175" s="78">
        <v>97.0</v>
      </c>
      <c r="D175" s="78">
        <v>19.0</v>
      </c>
      <c r="E175" s="78">
        <v>2.0</v>
      </c>
      <c r="F175" s="78" t="s">
        <v>559</v>
      </c>
      <c r="G175" s="78" t="s">
        <v>616</v>
      </c>
      <c r="H175" s="78" t="s">
        <v>69</v>
      </c>
      <c r="I175" s="85"/>
      <c r="J175" s="21"/>
      <c r="K175" s="21"/>
    </row>
    <row r="176" ht="13.5" customHeight="1">
      <c r="A176" s="90">
        <v>172.0</v>
      </c>
      <c r="B176" s="78" t="s">
        <v>616</v>
      </c>
      <c r="C176" s="78">
        <v>103.0</v>
      </c>
      <c r="D176" s="78">
        <v>23.0</v>
      </c>
      <c r="E176" s="78">
        <v>16.0</v>
      </c>
      <c r="F176" s="78" t="s">
        <v>596</v>
      </c>
      <c r="G176" s="78" t="s">
        <v>616</v>
      </c>
      <c r="H176" s="78" t="s">
        <v>69</v>
      </c>
      <c r="I176" s="85"/>
      <c r="J176" s="21"/>
      <c r="K176" s="21"/>
    </row>
    <row r="177" ht="13.5" customHeight="1">
      <c r="A177" s="90">
        <v>173.0</v>
      </c>
      <c r="B177" s="78" t="s">
        <v>616</v>
      </c>
      <c r="C177" s="78">
        <v>123.0</v>
      </c>
      <c r="D177" s="78">
        <v>1.0</v>
      </c>
      <c r="E177" s="78">
        <v>10.0</v>
      </c>
      <c r="F177" s="78" t="s">
        <v>623</v>
      </c>
      <c r="G177" s="78" t="s">
        <v>616</v>
      </c>
      <c r="H177" s="78" t="s">
        <v>69</v>
      </c>
      <c r="I177" s="85"/>
      <c r="J177" s="21"/>
      <c r="K177" s="21"/>
    </row>
    <row r="178" ht="13.5" customHeight="1">
      <c r="A178" s="90">
        <v>174.0</v>
      </c>
      <c r="B178" s="78" t="s">
        <v>616</v>
      </c>
      <c r="C178" s="78">
        <v>123.0</v>
      </c>
      <c r="D178" s="78">
        <v>27.0</v>
      </c>
      <c r="E178" s="78">
        <v>5.0</v>
      </c>
      <c r="F178" s="78" t="s">
        <v>623</v>
      </c>
      <c r="G178" s="78" t="s">
        <v>616</v>
      </c>
      <c r="H178" s="78" t="s">
        <v>69</v>
      </c>
      <c r="I178" s="85"/>
      <c r="J178" s="21"/>
      <c r="K178" s="21"/>
    </row>
    <row r="179" ht="13.5" customHeight="1">
      <c r="A179" s="90">
        <v>175.0</v>
      </c>
      <c r="B179" s="78" t="s">
        <v>616</v>
      </c>
      <c r="C179" s="78">
        <v>125.0</v>
      </c>
      <c r="D179" s="78">
        <v>20.0</v>
      </c>
      <c r="E179" s="78">
        <v>1.0</v>
      </c>
      <c r="F179" s="78" t="s">
        <v>599</v>
      </c>
      <c r="G179" s="78" t="s">
        <v>616</v>
      </c>
      <c r="H179" s="78" t="s">
        <v>69</v>
      </c>
      <c r="I179" s="85"/>
      <c r="J179" s="21"/>
      <c r="K179" s="21"/>
    </row>
    <row r="180" ht="13.5" customHeight="1">
      <c r="A180" s="90">
        <v>176.0</v>
      </c>
      <c r="B180" s="78" t="s">
        <v>594</v>
      </c>
      <c r="C180" s="78">
        <v>41.0</v>
      </c>
      <c r="D180" s="78">
        <v>23.0</v>
      </c>
      <c r="E180" s="78">
        <v>7.0</v>
      </c>
      <c r="F180" s="78" t="s">
        <v>599</v>
      </c>
      <c r="G180" s="78" t="s">
        <v>594</v>
      </c>
      <c r="H180" s="78" t="s">
        <v>69</v>
      </c>
      <c r="I180" s="85"/>
      <c r="J180" s="21"/>
      <c r="K180" s="21"/>
    </row>
    <row r="181" ht="13.5" customHeight="1">
      <c r="A181" s="90">
        <v>177.0</v>
      </c>
      <c r="B181" s="78" t="s">
        <v>594</v>
      </c>
      <c r="C181" s="78">
        <v>56.0</v>
      </c>
      <c r="D181" s="78">
        <v>8.0</v>
      </c>
      <c r="E181" s="78">
        <v>14.0</v>
      </c>
      <c r="F181" s="78" t="s">
        <v>599</v>
      </c>
      <c r="G181" s="78" t="s">
        <v>594</v>
      </c>
      <c r="H181" s="78" t="s">
        <v>69</v>
      </c>
      <c r="I181" s="85"/>
      <c r="J181" s="21"/>
      <c r="K181" s="21"/>
    </row>
    <row r="182" ht="13.5" customHeight="1">
      <c r="A182" s="90">
        <v>178.0</v>
      </c>
      <c r="B182" s="78" t="s">
        <v>624</v>
      </c>
      <c r="C182" s="208">
        <v>4.0</v>
      </c>
      <c r="D182" s="164">
        <v>12.0</v>
      </c>
      <c r="E182" s="164" t="s">
        <v>625</v>
      </c>
      <c r="F182" s="78" t="s">
        <v>626</v>
      </c>
      <c r="G182" s="78" t="s">
        <v>624</v>
      </c>
      <c r="H182" s="78" t="s">
        <v>69</v>
      </c>
      <c r="I182" s="85"/>
      <c r="J182" s="21"/>
      <c r="K182" s="21"/>
    </row>
    <row r="183" ht="13.5" customHeight="1">
      <c r="A183" s="90">
        <v>179.0</v>
      </c>
      <c r="B183" s="78" t="s">
        <v>624</v>
      </c>
      <c r="C183" s="164">
        <v>9.0</v>
      </c>
      <c r="D183" s="164">
        <v>7.0</v>
      </c>
      <c r="E183" s="164" t="s">
        <v>625</v>
      </c>
      <c r="F183" s="78" t="s">
        <v>626</v>
      </c>
      <c r="G183" s="78" t="s">
        <v>624</v>
      </c>
      <c r="H183" s="78" t="s">
        <v>69</v>
      </c>
      <c r="I183" s="85"/>
      <c r="J183" s="21"/>
      <c r="K183" s="21"/>
    </row>
    <row r="184" ht="13.5" customHeight="1">
      <c r="A184" s="90">
        <v>180.0</v>
      </c>
      <c r="B184" s="78" t="s">
        <v>624</v>
      </c>
      <c r="C184" s="208">
        <v>52.0</v>
      </c>
      <c r="D184" s="164">
        <v>29.0</v>
      </c>
      <c r="E184" s="164" t="s">
        <v>627</v>
      </c>
      <c r="F184" s="78" t="s">
        <v>626</v>
      </c>
      <c r="G184" s="78" t="s">
        <v>624</v>
      </c>
      <c r="H184" s="78" t="s">
        <v>69</v>
      </c>
      <c r="I184" s="85"/>
      <c r="J184" s="21"/>
      <c r="K184" s="21"/>
    </row>
    <row r="185" ht="13.5" customHeight="1">
      <c r="A185" s="90">
        <v>181.0</v>
      </c>
      <c r="B185" s="78" t="s">
        <v>624</v>
      </c>
      <c r="C185" s="208">
        <v>56.0</v>
      </c>
      <c r="D185" s="164">
        <v>36.0</v>
      </c>
      <c r="E185" s="164" t="s">
        <v>628</v>
      </c>
      <c r="F185" s="78" t="s">
        <v>626</v>
      </c>
      <c r="G185" s="78" t="s">
        <v>624</v>
      </c>
      <c r="H185" s="78" t="s">
        <v>69</v>
      </c>
      <c r="I185" s="85"/>
      <c r="J185" s="21"/>
      <c r="K185" s="21"/>
    </row>
    <row r="186" ht="13.5" customHeight="1">
      <c r="A186" s="90">
        <v>182.0</v>
      </c>
      <c r="B186" s="78" t="s">
        <v>624</v>
      </c>
      <c r="C186" s="208">
        <v>73.0</v>
      </c>
      <c r="D186" s="164">
        <v>19.0</v>
      </c>
      <c r="E186" s="164" t="s">
        <v>628</v>
      </c>
      <c r="F186" s="78" t="s">
        <v>626</v>
      </c>
      <c r="G186" s="78" t="s">
        <v>624</v>
      </c>
      <c r="H186" s="78" t="s">
        <v>69</v>
      </c>
      <c r="I186" s="85"/>
      <c r="J186" s="21"/>
      <c r="K186" s="21"/>
    </row>
    <row r="187" ht="13.5" customHeight="1">
      <c r="A187" s="90">
        <v>183.0</v>
      </c>
      <c r="B187" s="78" t="s">
        <v>624</v>
      </c>
      <c r="C187" s="208">
        <v>119.0</v>
      </c>
      <c r="D187" s="164">
        <v>31.0</v>
      </c>
      <c r="E187" s="164" t="s">
        <v>629</v>
      </c>
      <c r="F187" s="78" t="s">
        <v>626</v>
      </c>
      <c r="G187" s="78" t="s">
        <v>624</v>
      </c>
      <c r="H187" s="78" t="s">
        <v>69</v>
      </c>
      <c r="I187" s="85"/>
      <c r="J187" s="21"/>
      <c r="K187" s="21"/>
    </row>
    <row r="188" ht="13.5" customHeight="1">
      <c r="A188" s="90">
        <v>184.0</v>
      </c>
      <c r="B188" s="78" t="s">
        <v>624</v>
      </c>
      <c r="C188" s="208">
        <v>122.0</v>
      </c>
      <c r="D188" s="164">
        <v>25.0</v>
      </c>
      <c r="E188" s="164" t="s">
        <v>630</v>
      </c>
      <c r="F188" s="78" t="s">
        <v>626</v>
      </c>
      <c r="G188" s="78" t="s">
        <v>624</v>
      </c>
      <c r="H188" s="78" t="s">
        <v>69</v>
      </c>
      <c r="I188" s="85"/>
      <c r="J188" s="21"/>
      <c r="K188" s="21"/>
    </row>
    <row r="189" ht="13.5" customHeight="1">
      <c r="A189" s="90">
        <v>185.0</v>
      </c>
      <c r="B189" s="78" t="s">
        <v>631</v>
      </c>
      <c r="C189" s="164">
        <v>19.0</v>
      </c>
      <c r="D189" s="164">
        <v>7.0</v>
      </c>
      <c r="E189" s="164">
        <v>2.0</v>
      </c>
      <c r="F189" s="78" t="s">
        <v>626</v>
      </c>
      <c r="G189" s="78" t="s">
        <v>632</v>
      </c>
      <c r="H189" s="78" t="s">
        <v>69</v>
      </c>
      <c r="I189" s="85"/>
      <c r="J189" s="21"/>
      <c r="K189" s="21"/>
    </row>
    <row r="190" ht="13.5" customHeight="1">
      <c r="A190" s="90">
        <v>186.0</v>
      </c>
      <c r="B190" s="78" t="s">
        <v>631</v>
      </c>
      <c r="C190" s="164">
        <v>20.0</v>
      </c>
      <c r="D190" s="164">
        <v>3.0</v>
      </c>
      <c r="E190" s="164">
        <v>16.0</v>
      </c>
      <c r="F190" s="78" t="s">
        <v>626</v>
      </c>
      <c r="G190" s="78" t="s">
        <v>632</v>
      </c>
      <c r="H190" s="78" t="s">
        <v>69</v>
      </c>
      <c r="I190" s="85"/>
      <c r="J190" s="21"/>
      <c r="K190" s="21"/>
    </row>
    <row r="191" ht="13.5" customHeight="1">
      <c r="A191" s="90">
        <v>187.0</v>
      </c>
      <c r="B191" s="78" t="s">
        <v>631</v>
      </c>
      <c r="C191" s="164">
        <v>20.0</v>
      </c>
      <c r="D191" s="164">
        <v>29.0</v>
      </c>
      <c r="E191" s="164">
        <v>7.0</v>
      </c>
      <c r="F191" s="78" t="s">
        <v>626</v>
      </c>
      <c r="G191" s="78" t="s">
        <v>632</v>
      </c>
      <c r="H191" s="78" t="s">
        <v>69</v>
      </c>
      <c r="I191" s="85"/>
      <c r="J191" s="21"/>
      <c r="K191" s="21"/>
    </row>
    <row r="192" ht="13.5" customHeight="1">
      <c r="A192" s="90">
        <v>188.0</v>
      </c>
      <c r="B192" s="78" t="s">
        <v>631</v>
      </c>
      <c r="C192" s="164">
        <v>28.0</v>
      </c>
      <c r="D192" s="164">
        <v>23.0</v>
      </c>
      <c r="E192" s="164">
        <v>14.0</v>
      </c>
      <c r="F192" s="78" t="s">
        <v>626</v>
      </c>
      <c r="G192" s="78" t="s">
        <v>632</v>
      </c>
      <c r="H192" s="78" t="s">
        <v>69</v>
      </c>
      <c r="I192" s="85"/>
      <c r="J192" s="21"/>
      <c r="K192" s="21"/>
    </row>
    <row r="193" ht="13.5" customHeight="1">
      <c r="A193" s="90">
        <v>189.0</v>
      </c>
      <c r="B193" s="78" t="s">
        <v>631</v>
      </c>
      <c r="C193" s="164">
        <v>35.0</v>
      </c>
      <c r="D193" s="164">
        <v>14.0</v>
      </c>
      <c r="E193" s="164">
        <v>1.0</v>
      </c>
      <c r="F193" s="78" t="s">
        <v>626</v>
      </c>
      <c r="G193" s="78" t="s">
        <v>632</v>
      </c>
      <c r="H193" s="78" t="s">
        <v>69</v>
      </c>
      <c r="I193" s="85"/>
      <c r="J193" s="21"/>
      <c r="K193" s="21"/>
    </row>
    <row r="194" ht="13.5" customHeight="1">
      <c r="A194" s="90">
        <v>190.0</v>
      </c>
      <c r="B194" s="78" t="s">
        <v>631</v>
      </c>
      <c r="C194" s="164">
        <v>36.0</v>
      </c>
      <c r="D194" s="164">
        <v>2.0</v>
      </c>
      <c r="E194" s="164">
        <v>3.0</v>
      </c>
      <c r="F194" s="78" t="s">
        <v>626</v>
      </c>
      <c r="G194" s="78" t="s">
        <v>632</v>
      </c>
      <c r="H194" s="78" t="s">
        <v>69</v>
      </c>
      <c r="I194" s="85"/>
      <c r="J194" s="21"/>
      <c r="K194" s="21"/>
    </row>
    <row r="195" ht="13.5" customHeight="1">
      <c r="A195" s="90">
        <v>191.0</v>
      </c>
      <c r="B195" s="78" t="s">
        <v>631</v>
      </c>
      <c r="C195" s="164">
        <v>41.0</v>
      </c>
      <c r="D195" s="164">
        <v>7.0</v>
      </c>
      <c r="E195" s="164">
        <v>1.0</v>
      </c>
      <c r="F195" s="78" t="s">
        <v>626</v>
      </c>
      <c r="G195" s="78" t="s">
        <v>632</v>
      </c>
      <c r="H195" s="78" t="s">
        <v>69</v>
      </c>
      <c r="I195" s="85"/>
      <c r="J195" s="21"/>
      <c r="K195" s="21"/>
    </row>
    <row r="196" ht="13.5" customHeight="1">
      <c r="A196" s="90">
        <v>192.0</v>
      </c>
      <c r="B196" s="78" t="s">
        <v>631</v>
      </c>
      <c r="C196" s="164">
        <v>41.0</v>
      </c>
      <c r="D196" s="164">
        <v>7.0</v>
      </c>
      <c r="E196" s="164">
        <v>6.0</v>
      </c>
      <c r="F196" s="78" t="s">
        <v>626</v>
      </c>
      <c r="G196" s="78" t="s">
        <v>632</v>
      </c>
      <c r="H196" s="78" t="s">
        <v>69</v>
      </c>
      <c r="I196" s="85"/>
      <c r="J196" s="21"/>
      <c r="K196" s="21"/>
    </row>
    <row r="197" ht="13.5" customHeight="1">
      <c r="A197" s="90">
        <v>193.0</v>
      </c>
      <c r="B197" s="78" t="s">
        <v>631</v>
      </c>
      <c r="C197" s="164">
        <v>41.0</v>
      </c>
      <c r="D197" s="164">
        <v>21.0</v>
      </c>
      <c r="E197" s="164">
        <v>5.0</v>
      </c>
      <c r="F197" s="78" t="s">
        <v>626</v>
      </c>
      <c r="G197" s="78" t="s">
        <v>632</v>
      </c>
      <c r="H197" s="78" t="s">
        <v>69</v>
      </c>
      <c r="I197" s="85"/>
      <c r="J197" s="21"/>
      <c r="K197" s="21"/>
    </row>
    <row r="198" ht="13.5" customHeight="1">
      <c r="A198" s="90">
        <v>194.0</v>
      </c>
      <c r="B198" s="78" t="s">
        <v>631</v>
      </c>
      <c r="C198" s="164">
        <v>41.0</v>
      </c>
      <c r="D198" s="164">
        <v>23.0</v>
      </c>
      <c r="E198" s="164">
        <v>3.0</v>
      </c>
      <c r="F198" s="78" t="s">
        <v>626</v>
      </c>
      <c r="G198" s="78" t="s">
        <v>632</v>
      </c>
      <c r="H198" s="78" t="s">
        <v>69</v>
      </c>
      <c r="I198" s="85"/>
      <c r="J198" s="21"/>
      <c r="K198" s="21"/>
    </row>
    <row r="199" ht="13.5" customHeight="1">
      <c r="A199" s="90">
        <v>195.0</v>
      </c>
      <c r="B199" s="78" t="s">
        <v>631</v>
      </c>
      <c r="C199" s="164">
        <v>41.0</v>
      </c>
      <c r="D199" s="164">
        <v>23.0</v>
      </c>
      <c r="E199" s="164">
        <v>4.0</v>
      </c>
      <c r="F199" s="78" t="s">
        <v>626</v>
      </c>
      <c r="G199" s="78" t="s">
        <v>632</v>
      </c>
      <c r="H199" s="78" t="s">
        <v>69</v>
      </c>
      <c r="I199" s="85"/>
      <c r="J199" s="21"/>
      <c r="K199" s="21"/>
    </row>
    <row r="200" ht="13.5" customHeight="1">
      <c r="A200" s="90">
        <v>196.0</v>
      </c>
      <c r="B200" s="78" t="s">
        <v>631</v>
      </c>
      <c r="C200" s="164">
        <v>43.0</v>
      </c>
      <c r="D200" s="209">
        <v>1.0</v>
      </c>
      <c r="E200" s="209">
        <v>16.0</v>
      </c>
      <c r="F200" s="78" t="s">
        <v>626</v>
      </c>
      <c r="G200" s="78" t="s">
        <v>632</v>
      </c>
      <c r="H200" s="78" t="s">
        <v>69</v>
      </c>
      <c r="I200" s="85"/>
      <c r="J200" s="21"/>
      <c r="K200" s="21"/>
    </row>
    <row r="201" ht="13.5" customHeight="1">
      <c r="A201" s="90">
        <v>197.0</v>
      </c>
      <c r="B201" s="78" t="s">
        <v>631</v>
      </c>
      <c r="C201" s="164">
        <v>44.0</v>
      </c>
      <c r="D201" s="164">
        <v>17.0</v>
      </c>
      <c r="E201" s="164">
        <v>10.0</v>
      </c>
      <c r="F201" s="78" t="s">
        <v>626</v>
      </c>
      <c r="G201" s="78" t="s">
        <v>632</v>
      </c>
      <c r="H201" s="78" t="s">
        <v>69</v>
      </c>
      <c r="I201" s="85"/>
      <c r="J201" s="21"/>
      <c r="K201" s="21"/>
    </row>
    <row r="202" ht="13.5" customHeight="1">
      <c r="A202" s="90">
        <v>198.0</v>
      </c>
      <c r="B202" s="78" t="s">
        <v>631</v>
      </c>
      <c r="C202" s="164">
        <v>44.0</v>
      </c>
      <c r="D202" s="164">
        <v>30.0</v>
      </c>
      <c r="E202" s="164">
        <v>6.0</v>
      </c>
      <c r="F202" s="78" t="s">
        <v>626</v>
      </c>
      <c r="G202" s="78" t="s">
        <v>632</v>
      </c>
      <c r="H202" s="78" t="s">
        <v>69</v>
      </c>
      <c r="I202" s="85"/>
      <c r="J202" s="21"/>
      <c r="K202" s="21"/>
    </row>
    <row r="203" ht="13.5" customHeight="1">
      <c r="A203" s="90">
        <v>199.0</v>
      </c>
      <c r="B203" s="78" t="s">
        <v>631</v>
      </c>
      <c r="C203" s="164">
        <v>44.0</v>
      </c>
      <c r="D203" s="164">
        <v>30.0</v>
      </c>
      <c r="E203" s="164">
        <v>7.0</v>
      </c>
      <c r="F203" s="78" t="s">
        <v>626</v>
      </c>
      <c r="G203" s="78" t="s">
        <v>632</v>
      </c>
      <c r="H203" s="78" t="s">
        <v>69</v>
      </c>
      <c r="I203" s="85"/>
      <c r="J203" s="21"/>
      <c r="K203" s="21"/>
    </row>
    <row r="204" ht="13.5" customHeight="1">
      <c r="A204" s="90">
        <v>200.0</v>
      </c>
      <c r="B204" s="78" t="s">
        <v>631</v>
      </c>
      <c r="C204" s="164">
        <v>48.0</v>
      </c>
      <c r="D204" s="164">
        <v>5.0</v>
      </c>
      <c r="E204" s="164">
        <v>10.0</v>
      </c>
      <c r="F204" s="78" t="s">
        <v>626</v>
      </c>
      <c r="G204" s="78" t="s">
        <v>632</v>
      </c>
      <c r="H204" s="78" t="s">
        <v>69</v>
      </c>
      <c r="I204" s="85"/>
      <c r="J204" s="21"/>
      <c r="K204" s="21"/>
    </row>
    <row r="205" ht="13.5" customHeight="1">
      <c r="A205" s="90">
        <v>201.0</v>
      </c>
      <c r="B205" s="78" t="s">
        <v>631</v>
      </c>
      <c r="C205" s="164">
        <v>50.0</v>
      </c>
      <c r="D205" s="164">
        <v>32.0</v>
      </c>
      <c r="E205" s="164">
        <v>12.0</v>
      </c>
      <c r="F205" s="78" t="s">
        <v>626</v>
      </c>
      <c r="G205" s="78" t="s">
        <v>632</v>
      </c>
      <c r="H205" s="78" t="s">
        <v>69</v>
      </c>
      <c r="I205" s="85"/>
      <c r="J205" s="21"/>
      <c r="K205" s="21"/>
    </row>
    <row r="206" ht="13.5" customHeight="1">
      <c r="A206" s="90">
        <v>202.0</v>
      </c>
      <c r="B206" s="78" t="s">
        <v>631</v>
      </c>
      <c r="C206" s="164">
        <v>51.0</v>
      </c>
      <c r="D206" s="164">
        <v>27.0</v>
      </c>
      <c r="E206" s="164">
        <v>6.0</v>
      </c>
      <c r="F206" s="78" t="s">
        <v>626</v>
      </c>
      <c r="G206" s="78" t="s">
        <v>632</v>
      </c>
      <c r="H206" s="78" t="s">
        <v>69</v>
      </c>
      <c r="I206" s="85"/>
      <c r="J206" s="21"/>
      <c r="K206" s="21"/>
    </row>
    <row r="207" ht="13.5" customHeight="1">
      <c r="A207" s="90">
        <v>203.0</v>
      </c>
      <c r="B207" s="78" t="s">
        <v>631</v>
      </c>
      <c r="C207" s="164">
        <v>68.0</v>
      </c>
      <c r="D207" s="164">
        <v>8.0</v>
      </c>
      <c r="E207" s="164">
        <v>6.0</v>
      </c>
      <c r="F207" s="78" t="s">
        <v>626</v>
      </c>
      <c r="G207" s="78" t="s">
        <v>632</v>
      </c>
      <c r="H207" s="78" t="s">
        <v>69</v>
      </c>
      <c r="I207" s="85"/>
      <c r="J207" s="21"/>
      <c r="K207" s="21"/>
    </row>
    <row r="208" ht="13.5" customHeight="1">
      <c r="A208" s="90">
        <v>204.0</v>
      </c>
      <c r="B208" s="78" t="s">
        <v>631</v>
      </c>
      <c r="C208" s="164">
        <v>97.0</v>
      </c>
      <c r="D208" s="164">
        <v>19.0</v>
      </c>
      <c r="E208" s="164">
        <v>2.0</v>
      </c>
      <c r="F208" s="78" t="s">
        <v>626</v>
      </c>
      <c r="G208" s="78" t="s">
        <v>632</v>
      </c>
      <c r="H208" s="78" t="s">
        <v>69</v>
      </c>
      <c r="I208" s="85"/>
      <c r="J208" s="21"/>
      <c r="K208" s="21"/>
    </row>
    <row r="209" ht="13.5" customHeight="1">
      <c r="A209" s="90">
        <v>205.0</v>
      </c>
      <c r="B209" s="78" t="s">
        <v>631</v>
      </c>
      <c r="C209" s="164">
        <v>99.0</v>
      </c>
      <c r="D209" s="164">
        <v>23.0</v>
      </c>
      <c r="E209" s="164">
        <v>11.0</v>
      </c>
      <c r="F209" s="78" t="s">
        <v>626</v>
      </c>
      <c r="G209" s="78" t="s">
        <v>632</v>
      </c>
      <c r="H209" s="78" t="s">
        <v>69</v>
      </c>
      <c r="I209" s="85"/>
      <c r="J209" s="21"/>
      <c r="K209" s="21"/>
    </row>
    <row r="210" ht="13.5" customHeight="1">
      <c r="A210" s="90">
        <v>206.0</v>
      </c>
      <c r="B210" s="78" t="s">
        <v>631</v>
      </c>
      <c r="C210" s="164">
        <v>107.0</v>
      </c>
      <c r="D210" s="164">
        <v>14.0</v>
      </c>
      <c r="E210" s="164">
        <v>14.0</v>
      </c>
      <c r="F210" s="78" t="s">
        <v>626</v>
      </c>
      <c r="G210" s="78" t="s">
        <v>632</v>
      </c>
      <c r="H210" s="78" t="s">
        <v>69</v>
      </c>
      <c r="I210" s="85"/>
      <c r="J210" s="21"/>
      <c r="K210" s="21"/>
    </row>
    <row r="211" ht="13.5" customHeight="1">
      <c r="A211" s="90">
        <v>207.0</v>
      </c>
      <c r="B211" s="78" t="s">
        <v>631</v>
      </c>
      <c r="C211" s="164">
        <v>108.0</v>
      </c>
      <c r="D211" s="164">
        <v>3.0</v>
      </c>
      <c r="E211" s="164">
        <v>1.0</v>
      </c>
      <c r="F211" s="78" t="s">
        <v>626</v>
      </c>
      <c r="G211" s="78" t="s">
        <v>632</v>
      </c>
      <c r="H211" s="78" t="s">
        <v>69</v>
      </c>
      <c r="I211" s="85"/>
      <c r="J211" s="21"/>
      <c r="K211" s="21"/>
    </row>
    <row r="212" ht="13.5" customHeight="1">
      <c r="A212" s="90">
        <v>208.0</v>
      </c>
      <c r="B212" s="78" t="s">
        <v>631</v>
      </c>
      <c r="C212" s="164">
        <v>119.0</v>
      </c>
      <c r="D212" s="164">
        <v>32.0</v>
      </c>
      <c r="E212" s="164">
        <v>1.0</v>
      </c>
      <c r="F212" s="78" t="s">
        <v>626</v>
      </c>
      <c r="G212" s="78" t="s">
        <v>632</v>
      </c>
      <c r="H212" s="78" t="s">
        <v>69</v>
      </c>
      <c r="I212" s="85"/>
      <c r="J212" s="21"/>
      <c r="K212" s="21"/>
    </row>
    <row r="213" ht="13.5" customHeight="1">
      <c r="A213" s="90">
        <v>209.0</v>
      </c>
      <c r="B213" s="78" t="s">
        <v>631</v>
      </c>
      <c r="C213" s="164">
        <v>123.0</v>
      </c>
      <c r="D213" s="209">
        <v>1.0</v>
      </c>
      <c r="E213" s="209">
        <v>10.0</v>
      </c>
      <c r="F213" s="78" t="s">
        <v>626</v>
      </c>
      <c r="G213" s="78" t="s">
        <v>632</v>
      </c>
      <c r="H213" s="78" t="s">
        <v>69</v>
      </c>
      <c r="I213" s="85"/>
      <c r="J213" s="21"/>
      <c r="K213" s="21"/>
    </row>
    <row r="214" ht="13.5" customHeight="1">
      <c r="A214" s="90">
        <v>210.0</v>
      </c>
      <c r="B214" s="78" t="s">
        <v>631</v>
      </c>
      <c r="C214" s="164">
        <v>124.0</v>
      </c>
      <c r="D214" s="164">
        <v>4.0</v>
      </c>
      <c r="E214" s="164">
        <v>11.0</v>
      </c>
      <c r="F214" s="78" t="s">
        <v>626</v>
      </c>
      <c r="G214" s="78" t="s">
        <v>632</v>
      </c>
      <c r="H214" s="78" t="s">
        <v>69</v>
      </c>
      <c r="I214" s="85"/>
      <c r="J214" s="21"/>
      <c r="K214" s="21"/>
    </row>
    <row r="215" ht="13.5" customHeight="1">
      <c r="A215" s="90">
        <v>211.0</v>
      </c>
      <c r="B215" s="78" t="s">
        <v>633</v>
      </c>
      <c r="C215" s="164">
        <v>4.0</v>
      </c>
      <c r="D215" s="164">
        <v>17.0</v>
      </c>
      <c r="E215" s="164">
        <v>13.0</v>
      </c>
      <c r="F215" s="78" t="s">
        <v>634</v>
      </c>
      <c r="G215" s="78" t="s">
        <v>613</v>
      </c>
      <c r="H215" s="78" t="s">
        <v>69</v>
      </c>
      <c r="I215" s="78" t="s">
        <v>635</v>
      </c>
      <c r="J215" s="21"/>
      <c r="K215" s="21"/>
    </row>
    <row r="216" ht="13.5" customHeight="1">
      <c r="A216" s="90">
        <v>212.0</v>
      </c>
      <c r="B216" s="78" t="s">
        <v>633</v>
      </c>
      <c r="C216" s="78">
        <v>4.0</v>
      </c>
      <c r="D216" s="78">
        <v>17.0</v>
      </c>
      <c r="E216" s="78">
        <v>14.0</v>
      </c>
      <c r="F216" s="78" t="s">
        <v>634</v>
      </c>
      <c r="G216" s="78" t="s">
        <v>613</v>
      </c>
      <c r="H216" s="78" t="s">
        <v>69</v>
      </c>
      <c r="I216" s="78" t="s">
        <v>636</v>
      </c>
      <c r="J216" s="21"/>
      <c r="K216" s="21"/>
    </row>
    <row r="217" ht="13.5" customHeight="1">
      <c r="A217" s="90">
        <v>213.0</v>
      </c>
      <c r="B217" s="78" t="s">
        <v>633</v>
      </c>
      <c r="C217" s="78">
        <v>41.0</v>
      </c>
      <c r="D217" s="78">
        <v>22.0</v>
      </c>
      <c r="E217" s="78">
        <v>12.0</v>
      </c>
      <c r="F217" s="78" t="s">
        <v>637</v>
      </c>
      <c r="G217" s="78" t="s">
        <v>613</v>
      </c>
      <c r="H217" s="78" t="s">
        <v>69</v>
      </c>
      <c r="I217" s="78"/>
      <c r="J217" s="21"/>
      <c r="K217" s="21"/>
    </row>
    <row r="218" ht="13.5" customHeight="1">
      <c r="A218" s="90">
        <v>214.0</v>
      </c>
      <c r="B218" s="78" t="s">
        <v>633</v>
      </c>
      <c r="C218" s="78">
        <v>41.0</v>
      </c>
      <c r="D218" s="78">
        <v>23.0</v>
      </c>
      <c r="E218" s="78">
        <v>3.0</v>
      </c>
      <c r="F218" s="78" t="s">
        <v>314</v>
      </c>
      <c r="G218" s="146">
        <v>46018.0</v>
      </c>
      <c r="H218" s="78" t="s">
        <v>69</v>
      </c>
      <c r="I218" s="78" t="s">
        <v>638</v>
      </c>
      <c r="J218" s="21"/>
      <c r="K218" s="21"/>
    </row>
    <row r="219" ht="13.5" customHeight="1">
      <c r="A219" s="90">
        <v>215.0</v>
      </c>
      <c r="B219" s="78" t="s">
        <v>633</v>
      </c>
      <c r="C219" s="78">
        <v>41.0</v>
      </c>
      <c r="D219" s="78">
        <v>23.0</v>
      </c>
      <c r="E219" s="78">
        <v>4.0</v>
      </c>
      <c r="F219" s="78" t="s">
        <v>314</v>
      </c>
      <c r="G219" s="146">
        <v>46018.0</v>
      </c>
      <c r="H219" s="78" t="s">
        <v>69</v>
      </c>
      <c r="I219" s="78" t="s">
        <v>639</v>
      </c>
      <c r="J219" s="21"/>
      <c r="K219" s="21"/>
    </row>
    <row r="220" ht="13.5" customHeight="1">
      <c r="A220" s="90">
        <v>216.0</v>
      </c>
      <c r="B220" s="78" t="s">
        <v>633</v>
      </c>
      <c r="C220" s="78">
        <v>41.0</v>
      </c>
      <c r="D220" s="78">
        <v>21.0</v>
      </c>
      <c r="E220" s="78">
        <v>5.0</v>
      </c>
      <c r="F220" s="78" t="s">
        <v>640</v>
      </c>
      <c r="G220" s="78" t="s">
        <v>613</v>
      </c>
      <c r="H220" s="78" t="s">
        <v>69</v>
      </c>
      <c r="I220" s="78"/>
      <c r="J220" s="21"/>
      <c r="K220" s="21"/>
    </row>
    <row r="221" ht="13.5" customHeight="1">
      <c r="A221" s="90">
        <v>217.0</v>
      </c>
      <c r="B221" s="78" t="s">
        <v>633</v>
      </c>
      <c r="C221" s="78">
        <v>28.0</v>
      </c>
      <c r="D221" s="78">
        <v>23.0</v>
      </c>
      <c r="E221" s="78">
        <v>14.0</v>
      </c>
      <c r="F221" s="78" t="s">
        <v>637</v>
      </c>
      <c r="G221" s="78" t="s">
        <v>613</v>
      </c>
      <c r="H221" s="78" t="s">
        <v>69</v>
      </c>
      <c r="I221" s="85"/>
      <c r="J221" s="21"/>
      <c r="K221" s="21"/>
    </row>
    <row r="222" ht="13.5" customHeight="1">
      <c r="A222" s="90">
        <v>218.0</v>
      </c>
      <c r="B222" s="78" t="s">
        <v>633</v>
      </c>
      <c r="C222" s="78">
        <v>96.0</v>
      </c>
      <c r="D222" s="78">
        <v>17.0</v>
      </c>
      <c r="E222" s="78">
        <v>8.0</v>
      </c>
      <c r="F222" s="78" t="s">
        <v>641</v>
      </c>
      <c r="G222" s="78" t="s">
        <v>613</v>
      </c>
      <c r="H222" s="78" t="s">
        <v>69</v>
      </c>
      <c r="I222" s="85"/>
      <c r="J222" s="21"/>
      <c r="K222" s="21"/>
    </row>
    <row r="223" ht="13.5" customHeight="1">
      <c r="A223" s="90">
        <v>219.0</v>
      </c>
      <c r="B223" s="78" t="s">
        <v>633</v>
      </c>
      <c r="C223" s="78">
        <v>123.0</v>
      </c>
      <c r="D223" s="78">
        <v>1.0</v>
      </c>
      <c r="E223" s="78">
        <v>10.0</v>
      </c>
      <c r="F223" s="78" t="s">
        <v>641</v>
      </c>
      <c r="G223" s="78" t="s">
        <v>613</v>
      </c>
      <c r="H223" s="78" t="s">
        <v>69</v>
      </c>
      <c r="I223" s="85"/>
      <c r="J223" s="21"/>
      <c r="K223" s="21"/>
    </row>
    <row r="224" ht="13.5" customHeight="1">
      <c r="A224" s="90">
        <v>220.0</v>
      </c>
      <c r="B224" s="78" t="s">
        <v>633</v>
      </c>
      <c r="C224" s="78">
        <v>126.0</v>
      </c>
      <c r="D224" s="78">
        <v>5.0</v>
      </c>
      <c r="E224" s="78">
        <v>16.0</v>
      </c>
      <c r="F224" s="78" t="s">
        <v>314</v>
      </c>
      <c r="G224" s="78" t="s">
        <v>642</v>
      </c>
      <c r="H224" s="78" t="s">
        <v>69</v>
      </c>
      <c r="I224" s="78" t="s">
        <v>643</v>
      </c>
      <c r="J224" s="21"/>
      <c r="K224" s="21"/>
    </row>
    <row r="225" ht="13.5" customHeight="1">
      <c r="A225" s="90">
        <v>221.0</v>
      </c>
      <c r="B225" s="78" t="s">
        <v>633</v>
      </c>
      <c r="C225" s="78">
        <v>36.0</v>
      </c>
      <c r="D225" s="78">
        <v>2.0</v>
      </c>
      <c r="E225" s="78">
        <v>3.0</v>
      </c>
      <c r="F225" s="78" t="s">
        <v>641</v>
      </c>
      <c r="G225" s="78" t="s">
        <v>613</v>
      </c>
      <c r="H225" s="78" t="s">
        <v>69</v>
      </c>
      <c r="I225" s="85"/>
      <c r="J225" s="21"/>
      <c r="K225" s="21"/>
    </row>
    <row r="226" ht="13.5" customHeight="1">
      <c r="A226" s="90">
        <v>222.0</v>
      </c>
      <c r="B226" s="78" t="s">
        <v>633</v>
      </c>
      <c r="C226" s="78">
        <v>41.0</v>
      </c>
      <c r="D226" s="78">
        <v>7.0</v>
      </c>
      <c r="E226" s="78">
        <v>6.0</v>
      </c>
      <c r="F226" s="78" t="s">
        <v>314</v>
      </c>
      <c r="G226" s="78" t="s">
        <v>644</v>
      </c>
      <c r="H226" s="78" t="s">
        <v>69</v>
      </c>
      <c r="I226" s="78" t="s">
        <v>645</v>
      </c>
      <c r="J226" s="21"/>
      <c r="K226" s="21"/>
    </row>
    <row r="227" ht="13.5" customHeight="1">
      <c r="A227" s="90">
        <v>223.0</v>
      </c>
      <c r="B227" s="78" t="s">
        <v>613</v>
      </c>
      <c r="C227" s="78">
        <v>43.0</v>
      </c>
      <c r="D227" s="78">
        <v>1.0</v>
      </c>
      <c r="E227" s="78">
        <v>16.0</v>
      </c>
      <c r="F227" s="78" t="s">
        <v>637</v>
      </c>
      <c r="G227" s="78" t="s">
        <v>613</v>
      </c>
      <c r="H227" s="78" t="s">
        <v>69</v>
      </c>
      <c r="I227" s="85"/>
      <c r="J227" s="21"/>
      <c r="K227" s="21"/>
    </row>
    <row r="228" ht="13.5" customHeight="1">
      <c r="A228" s="90">
        <v>224.0</v>
      </c>
      <c r="B228" s="78" t="s">
        <v>613</v>
      </c>
      <c r="C228" s="78">
        <v>123.0</v>
      </c>
      <c r="D228" s="78">
        <v>35.0</v>
      </c>
      <c r="E228" s="78">
        <v>1.0</v>
      </c>
      <c r="F228" s="78" t="s">
        <v>637</v>
      </c>
      <c r="G228" s="78" t="s">
        <v>613</v>
      </c>
      <c r="H228" s="78" t="s">
        <v>69</v>
      </c>
      <c r="I228" s="85"/>
      <c r="J228" s="21"/>
      <c r="K228" s="21"/>
    </row>
    <row r="229" ht="13.5" customHeight="1">
      <c r="A229" s="90">
        <v>225.0</v>
      </c>
      <c r="B229" s="78" t="s">
        <v>613</v>
      </c>
      <c r="C229" s="78">
        <v>123.0</v>
      </c>
      <c r="D229" s="78">
        <v>35.0</v>
      </c>
      <c r="E229" s="78">
        <v>2.0</v>
      </c>
      <c r="F229" s="78" t="s">
        <v>637</v>
      </c>
      <c r="G229" s="78" t="s">
        <v>613</v>
      </c>
      <c r="H229" s="78" t="s">
        <v>69</v>
      </c>
      <c r="I229" s="85"/>
      <c r="J229" s="21"/>
      <c r="K229" s="21"/>
    </row>
    <row r="230" ht="13.5" customHeight="1">
      <c r="A230" s="90">
        <v>226.0</v>
      </c>
      <c r="B230" s="78" t="s">
        <v>613</v>
      </c>
      <c r="C230" s="78">
        <v>123.0</v>
      </c>
      <c r="D230" s="78">
        <v>35.0</v>
      </c>
      <c r="E230" s="78">
        <v>3.0</v>
      </c>
      <c r="F230" s="78" t="s">
        <v>637</v>
      </c>
      <c r="G230" s="78" t="s">
        <v>613</v>
      </c>
      <c r="H230" s="78" t="s">
        <v>69</v>
      </c>
      <c r="I230" s="85"/>
      <c r="J230" s="21"/>
      <c r="K230" s="21"/>
    </row>
    <row r="231" ht="13.5" customHeight="1">
      <c r="A231" s="90">
        <v>227.0</v>
      </c>
      <c r="B231" s="78" t="s">
        <v>613</v>
      </c>
      <c r="C231" s="78">
        <v>117.0</v>
      </c>
      <c r="D231" s="78">
        <v>8.0</v>
      </c>
      <c r="E231" s="78">
        <v>4.0</v>
      </c>
      <c r="F231" s="78" t="s">
        <v>646</v>
      </c>
      <c r="G231" s="78" t="s">
        <v>613</v>
      </c>
      <c r="H231" s="78" t="s">
        <v>69</v>
      </c>
      <c r="I231" s="85"/>
      <c r="J231" s="21"/>
      <c r="K231" s="21"/>
    </row>
    <row r="232" ht="13.5" customHeight="1">
      <c r="A232" s="90">
        <v>228.0</v>
      </c>
      <c r="B232" s="78" t="s">
        <v>647</v>
      </c>
      <c r="C232" s="78">
        <v>38.0</v>
      </c>
      <c r="D232" s="78">
        <v>9.0</v>
      </c>
      <c r="E232" s="78">
        <v>6.0</v>
      </c>
      <c r="F232" s="78" t="s">
        <v>602</v>
      </c>
      <c r="G232" s="78" t="s">
        <v>647</v>
      </c>
      <c r="H232" s="78" t="s">
        <v>69</v>
      </c>
      <c r="I232" s="85"/>
      <c r="J232" s="21"/>
      <c r="K232" s="21"/>
    </row>
    <row r="233" ht="13.5" customHeight="1">
      <c r="A233" s="90">
        <v>229.0</v>
      </c>
      <c r="B233" s="78" t="s">
        <v>647</v>
      </c>
      <c r="C233" s="78">
        <v>41.0</v>
      </c>
      <c r="D233" s="78">
        <v>7.0</v>
      </c>
      <c r="E233" s="78">
        <v>1.0</v>
      </c>
      <c r="F233" s="78" t="s">
        <v>592</v>
      </c>
      <c r="G233" s="78" t="s">
        <v>647</v>
      </c>
      <c r="H233" s="78" t="s">
        <v>69</v>
      </c>
      <c r="I233" s="85"/>
      <c r="J233" s="21"/>
      <c r="K233" s="21"/>
    </row>
    <row r="234" ht="13.5" customHeight="1">
      <c r="A234" s="90">
        <v>230.0</v>
      </c>
      <c r="B234" s="78" t="s">
        <v>647</v>
      </c>
      <c r="C234" s="78">
        <v>41.0</v>
      </c>
      <c r="D234" s="78">
        <v>7.0</v>
      </c>
      <c r="E234" s="78">
        <v>4.0</v>
      </c>
      <c r="F234" s="78" t="s">
        <v>602</v>
      </c>
      <c r="G234" s="78" t="s">
        <v>647</v>
      </c>
      <c r="H234" s="78" t="s">
        <v>69</v>
      </c>
      <c r="I234" s="85"/>
      <c r="J234" s="21"/>
      <c r="K234" s="21"/>
    </row>
    <row r="235" ht="13.5" customHeight="1">
      <c r="A235" s="90">
        <v>231.0</v>
      </c>
      <c r="B235" s="78" t="s">
        <v>647</v>
      </c>
      <c r="C235" s="78">
        <v>41.0</v>
      </c>
      <c r="D235" s="78">
        <v>21.0</v>
      </c>
      <c r="E235" s="78">
        <v>8.0</v>
      </c>
      <c r="F235" s="78" t="s">
        <v>602</v>
      </c>
      <c r="G235" s="78" t="s">
        <v>647</v>
      </c>
      <c r="H235" s="78" t="s">
        <v>69</v>
      </c>
      <c r="I235" s="85"/>
      <c r="J235" s="21"/>
      <c r="K235" s="21"/>
    </row>
    <row r="236" ht="13.5" customHeight="1">
      <c r="A236" s="90">
        <v>232.0</v>
      </c>
      <c r="B236" s="78" t="s">
        <v>647</v>
      </c>
      <c r="C236" s="78">
        <v>65.0</v>
      </c>
      <c r="D236" s="78">
        <v>10.0</v>
      </c>
      <c r="E236" s="78">
        <v>10.0</v>
      </c>
      <c r="F236" s="78" t="s">
        <v>602</v>
      </c>
      <c r="G236" s="78" t="s">
        <v>647</v>
      </c>
      <c r="H236" s="78" t="s">
        <v>69</v>
      </c>
      <c r="I236" s="85"/>
      <c r="J236" s="21"/>
      <c r="K236" s="21"/>
    </row>
    <row r="237" ht="13.5" customHeight="1">
      <c r="A237" s="90">
        <v>233.0</v>
      </c>
      <c r="B237" s="78" t="s">
        <v>648</v>
      </c>
      <c r="C237" s="78">
        <v>65.0</v>
      </c>
      <c r="D237" s="78">
        <v>7.0</v>
      </c>
      <c r="E237" s="78">
        <v>10.0</v>
      </c>
      <c r="F237" s="78" t="s">
        <v>314</v>
      </c>
      <c r="G237" s="207">
        <v>46023.0</v>
      </c>
      <c r="H237" s="78" t="s">
        <v>69</v>
      </c>
      <c r="I237" s="78" t="s">
        <v>600</v>
      </c>
      <c r="J237" s="21"/>
      <c r="K237" s="21"/>
    </row>
    <row r="238" ht="13.5" customHeight="1">
      <c r="A238" s="90">
        <v>234.0</v>
      </c>
      <c r="B238" s="78" t="s">
        <v>648</v>
      </c>
      <c r="C238" s="78">
        <v>78.0</v>
      </c>
      <c r="D238" s="78">
        <v>16.0</v>
      </c>
      <c r="E238" s="78">
        <v>11.0</v>
      </c>
      <c r="F238" s="78" t="s">
        <v>649</v>
      </c>
      <c r="G238" s="78" t="s">
        <v>610</v>
      </c>
      <c r="H238" s="78" t="s">
        <v>69</v>
      </c>
      <c r="I238" s="78" t="s">
        <v>600</v>
      </c>
      <c r="J238" s="21"/>
      <c r="K238" s="21"/>
    </row>
    <row r="239" ht="13.5" customHeight="1">
      <c r="A239" s="78">
        <v>235.0</v>
      </c>
      <c r="B239" s="78" t="s">
        <v>610</v>
      </c>
      <c r="C239" s="78">
        <v>35.0</v>
      </c>
      <c r="D239" s="78">
        <v>10.0</v>
      </c>
      <c r="E239" s="78">
        <v>2.0</v>
      </c>
      <c r="F239" s="78" t="s">
        <v>314</v>
      </c>
      <c r="G239" s="207">
        <v>46023.0</v>
      </c>
      <c r="H239" s="78" t="s">
        <v>69</v>
      </c>
      <c r="I239" s="78" t="s">
        <v>600</v>
      </c>
      <c r="J239" s="21"/>
      <c r="K239" s="21"/>
    </row>
    <row r="240" ht="13.5" customHeight="1">
      <c r="A240" s="78">
        <v>236.0</v>
      </c>
      <c r="B240" s="78" t="s">
        <v>650</v>
      </c>
      <c r="C240" s="78">
        <v>26.0</v>
      </c>
      <c r="D240" s="78">
        <v>16.0</v>
      </c>
      <c r="E240" s="78">
        <v>13.0</v>
      </c>
      <c r="F240" s="78" t="s">
        <v>285</v>
      </c>
      <c r="G240" s="146">
        <v>46022.0</v>
      </c>
      <c r="H240" s="78" t="s">
        <v>69</v>
      </c>
      <c r="I240" s="78" t="s">
        <v>651</v>
      </c>
      <c r="J240" s="21"/>
      <c r="K240" s="21"/>
    </row>
    <row r="241" ht="13.5" customHeight="1">
      <c r="A241" s="78">
        <v>237.0</v>
      </c>
      <c r="B241" s="78" t="s">
        <v>650</v>
      </c>
      <c r="C241" s="78">
        <v>26.0</v>
      </c>
      <c r="D241" s="78">
        <v>16.0</v>
      </c>
      <c r="E241" s="78">
        <v>14.0</v>
      </c>
      <c r="F241" s="78" t="s">
        <v>285</v>
      </c>
      <c r="G241" s="146">
        <v>46022.0</v>
      </c>
      <c r="H241" s="78" t="s">
        <v>69</v>
      </c>
      <c r="I241" s="78" t="s">
        <v>651</v>
      </c>
      <c r="J241" s="21"/>
      <c r="K241" s="21"/>
    </row>
    <row r="242" ht="13.5" customHeight="1">
      <c r="A242" s="78">
        <v>238.0</v>
      </c>
      <c r="B242" s="78" t="s">
        <v>650</v>
      </c>
      <c r="C242" s="78">
        <v>26.0</v>
      </c>
      <c r="D242" s="78">
        <v>16.0</v>
      </c>
      <c r="E242" s="78">
        <v>15.0</v>
      </c>
      <c r="F242" s="78" t="s">
        <v>285</v>
      </c>
      <c r="G242" s="146">
        <v>46022.0</v>
      </c>
      <c r="H242" s="78" t="s">
        <v>69</v>
      </c>
      <c r="I242" s="78" t="s">
        <v>651</v>
      </c>
      <c r="J242" s="21"/>
      <c r="K242" s="21"/>
    </row>
    <row r="243" ht="13.5" customHeight="1">
      <c r="A243" s="78">
        <v>239.0</v>
      </c>
      <c r="B243" s="210">
        <v>46082.0</v>
      </c>
      <c r="C243" s="78">
        <v>50.0</v>
      </c>
      <c r="D243" s="78">
        <v>27.0</v>
      </c>
      <c r="E243" s="78">
        <v>9.0</v>
      </c>
      <c r="F243" s="78" t="s">
        <v>285</v>
      </c>
      <c r="G243" s="210">
        <v>46082.0</v>
      </c>
      <c r="H243" s="78" t="s">
        <v>69</v>
      </c>
      <c r="I243" s="78" t="s">
        <v>652</v>
      </c>
      <c r="J243" s="21"/>
      <c r="K243" s="21"/>
    </row>
    <row r="244" ht="13.5" customHeight="1">
      <c r="A244" s="78">
        <v>240.0</v>
      </c>
      <c r="B244" s="210">
        <v>46082.0</v>
      </c>
      <c r="C244" s="78">
        <v>50.0</v>
      </c>
      <c r="D244" s="78">
        <v>27.0</v>
      </c>
      <c r="E244" s="78">
        <v>12.0</v>
      </c>
      <c r="F244" s="78" t="s">
        <v>285</v>
      </c>
      <c r="G244" s="210">
        <v>46082.0</v>
      </c>
      <c r="H244" s="78" t="s">
        <v>69</v>
      </c>
      <c r="I244" s="78" t="s">
        <v>652</v>
      </c>
      <c r="J244" s="21"/>
      <c r="K244" s="21"/>
    </row>
    <row r="245" ht="13.5" customHeight="1">
      <c r="A245" s="78">
        <v>241.0</v>
      </c>
      <c r="B245" s="210">
        <v>46143.0</v>
      </c>
      <c r="C245" s="78">
        <v>7.0</v>
      </c>
      <c r="D245" s="78">
        <v>10.0</v>
      </c>
      <c r="E245" s="78">
        <v>3.0</v>
      </c>
      <c r="F245" s="78" t="s">
        <v>653</v>
      </c>
      <c r="G245" s="210">
        <v>46143.0</v>
      </c>
      <c r="H245" s="78" t="s">
        <v>69</v>
      </c>
      <c r="I245" s="78" t="s">
        <v>654</v>
      </c>
      <c r="J245" s="21"/>
      <c r="K245" s="21"/>
    </row>
    <row r="246" ht="13.5" customHeight="1">
      <c r="A246" s="78">
        <v>242.0</v>
      </c>
      <c r="B246" s="210">
        <v>46143.0</v>
      </c>
      <c r="C246" s="78">
        <v>56.0</v>
      </c>
      <c r="D246" s="78">
        <v>19.0</v>
      </c>
      <c r="E246" s="78">
        <v>13.0</v>
      </c>
      <c r="F246" s="78" t="s">
        <v>653</v>
      </c>
      <c r="G246" s="210">
        <v>46143.0</v>
      </c>
      <c r="H246" s="78" t="s">
        <v>69</v>
      </c>
      <c r="I246" s="78" t="s">
        <v>654</v>
      </c>
      <c r="J246" s="21"/>
      <c r="K246" s="21"/>
    </row>
    <row r="247" ht="13.5" customHeight="1">
      <c r="A247" s="78">
        <v>243.0</v>
      </c>
      <c r="B247" s="210">
        <v>46143.0</v>
      </c>
      <c r="C247" s="78">
        <v>56.0</v>
      </c>
      <c r="D247" s="78">
        <v>19.0</v>
      </c>
      <c r="E247" s="78">
        <v>14.0</v>
      </c>
      <c r="F247" s="78" t="s">
        <v>653</v>
      </c>
      <c r="G247" s="210">
        <v>46143.0</v>
      </c>
      <c r="H247" s="78" t="s">
        <v>69</v>
      </c>
      <c r="I247" s="78" t="s">
        <v>654</v>
      </c>
      <c r="J247" s="21"/>
      <c r="K247" s="21"/>
    </row>
    <row r="248" ht="13.5" customHeight="1">
      <c r="A248" s="78">
        <v>244.0</v>
      </c>
      <c r="B248" s="210">
        <v>46143.0</v>
      </c>
      <c r="C248" s="78">
        <v>56.0</v>
      </c>
      <c r="D248" s="78">
        <v>19.0</v>
      </c>
      <c r="E248" s="78">
        <v>15.0</v>
      </c>
      <c r="F248" s="78" t="s">
        <v>653</v>
      </c>
      <c r="G248" s="210">
        <v>46143.0</v>
      </c>
      <c r="H248" s="78" t="s">
        <v>69</v>
      </c>
      <c r="I248" s="78" t="s">
        <v>654</v>
      </c>
      <c r="J248" s="21"/>
      <c r="K248" s="21"/>
    </row>
    <row r="249" ht="13.5" customHeight="1">
      <c r="A249" s="78">
        <v>245.0</v>
      </c>
      <c r="B249" s="210">
        <v>46143.0</v>
      </c>
      <c r="C249" s="78">
        <v>56.0</v>
      </c>
      <c r="D249" s="78">
        <v>19.0</v>
      </c>
      <c r="E249" s="78">
        <v>16.0</v>
      </c>
      <c r="F249" s="78" t="s">
        <v>653</v>
      </c>
      <c r="G249" s="210">
        <v>46143.0</v>
      </c>
      <c r="H249" s="78" t="s">
        <v>69</v>
      </c>
      <c r="I249" s="78" t="s">
        <v>654</v>
      </c>
      <c r="J249" s="21"/>
      <c r="K249" s="21"/>
    </row>
    <row r="250" ht="13.5" customHeight="1">
      <c r="A250" s="78">
        <v>246.0</v>
      </c>
      <c r="B250" s="210">
        <v>46174.0</v>
      </c>
      <c r="C250" s="78">
        <v>120.0</v>
      </c>
      <c r="D250" s="78">
        <v>17.0</v>
      </c>
      <c r="E250" s="78">
        <v>12.0</v>
      </c>
      <c r="F250" s="78" t="s">
        <v>655</v>
      </c>
      <c r="G250" s="210">
        <v>46174.0</v>
      </c>
      <c r="H250" s="78" t="s">
        <v>69</v>
      </c>
      <c r="I250" s="79"/>
      <c r="J250" s="21"/>
      <c r="K250" s="21"/>
    </row>
    <row r="251" ht="13.5" customHeight="1">
      <c r="A251" s="78">
        <v>247.0</v>
      </c>
      <c r="B251" s="210">
        <v>46032.0</v>
      </c>
      <c r="C251" s="78">
        <v>55.0</v>
      </c>
      <c r="D251" s="78">
        <v>10.0</v>
      </c>
      <c r="E251" s="78">
        <v>2.0</v>
      </c>
      <c r="F251" s="78" t="s">
        <v>656</v>
      </c>
      <c r="G251" s="210">
        <v>46032.0</v>
      </c>
      <c r="H251" s="78" t="s">
        <v>69</v>
      </c>
      <c r="I251" s="85"/>
      <c r="J251" s="21"/>
      <c r="K251" s="21"/>
    </row>
    <row r="252" ht="13.5" customHeight="1">
      <c r="A252" s="78">
        <v>248.0</v>
      </c>
      <c r="B252" s="210">
        <v>46033.0</v>
      </c>
      <c r="C252" s="78">
        <v>124.0</v>
      </c>
      <c r="D252" s="78">
        <v>17.0</v>
      </c>
      <c r="E252" s="78">
        <v>2.0</v>
      </c>
      <c r="F252" s="78" t="s">
        <v>657</v>
      </c>
      <c r="G252" s="210">
        <v>46035.0</v>
      </c>
      <c r="H252" s="78" t="s">
        <v>69</v>
      </c>
      <c r="I252" s="85"/>
      <c r="J252" s="21"/>
      <c r="K252" s="21"/>
    </row>
    <row r="253" ht="13.5" customHeight="1">
      <c r="A253" s="78">
        <v>249.0</v>
      </c>
      <c r="B253" s="210">
        <v>46036.0</v>
      </c>
      <c r="C253" s="78">
        <v>132.0</v>
      </c>
      <c r="D253" s="78">
        <v>5.0</v>
      </c>
      <c r="E253" s="78">
        <v>15.0</v>
      </c>
      <c r="F253" s="78" t="s">
        <v>658</v>
      </c>
      <c r="G253" s="210">
        <v>46037.0</v>
      </c>
      <c r="H253" s="78" t="s">
        <v>69</v>
      </c>
      <c r="I253" s="85"/>
      <c r="J253" s="21"/>
      <c r="K253" s="21"/>
    </row>
    <row r="254" ht="13.5" customHeight="1">
      <c r="A254" s="78">
        <v>250.0</v>
      </c>
      <c r="B254" s="210">
        <v>46036.0</v>
      </c>
      <c r="C254" s="78">
        <v>35.0</v>
      </c>
      <c r="D254" s="78">
        <v>21.0</v>
      </c>
      <c r="E254" s="78">
        <v>3.0</v>
      </c>
      <c r="F254" s="78" t="s">
        <v>658</v>
      </c>
      <c r="G254" s="210">
        <v>46037.0</v>
      </c>
      <c r="H254" s="78" t="s">
        <v>69</v>
      </c>
      <c r="I254" s="85"/>
      <c r="J254" s="21"/>
      <c r="K254" s="21"/>
    </row>
    <row r="255" ht="13.5" customHeight="1">
      <c r="A255" s="78">
        <v>251.0</v>
      </c>
      <c r="B255" s="207">
        <v>46046.0</v>
      </c>
      <c r="C255" s="78">
        <v>38.0</v>
      </c>
      <c r="D255" s="78">
        <v>9.0</v>
      </c>
      <c r="E255" s="78">
        <v>6.0</v>
      </c>
      <c r="F255" s="78" t="s">
        <v>658</v>
      </c>
      <c r="G255" s="207">
        <v>46047.0</v>
      </c>
      <c r="H255" s="78" t="s">
        <v>69</v>
      </c>
      <c r="I255" s="85"/>
      <c r="J255" s="21"/>
      <c r="K255" s="21"/>
    </row>
    <row r="256" ht="13.5" customHeight="1">
      <c r="A256" s="78">
        <v>252.0</v>
      </c>
      <c r="B256" s="207">
        <v>46047.0</v>
      </c>
      <c r="C256" s="78">
        <v>55.0</v>
      </c>
      <c r="D256" s="78">
        <v>7.0</v>
      </c>
      <c r="E256" s="78">
        <v>4.0</v>
      </c>
      <c r="F256" s="78" t="s">
        <v>659</v>
      </c>
      <c r="G256" s="207">
        <v>46047.0</v>
      </c>
      <c r="H256" s="78" t="s">
        <v>69</v>
      </c>
      <c r="I256" s="78" t="s">
        <v>660</v>
      </c>
      <c r="J256" s="21"/>
      <c r="K256" s="21"/>
    </row>
    <row r="257" ht="13.5" customHeight="1">
      <c r="A257" s="78">
        <v>253.0</v>
      </c>
      <c r="B257" s="207">
        <v>46047.0</v>
      </c>
      <c r="C257" s="78">
        <v>55.0</v>
      </c>
      <c r="D257" s="78">
        <v>10.0</v>
      </c>
      <c r="E257" s="78">
        <v>2.0</v>
      </c>
      <c r="F257" s="78" t="s">
        <v>659</v>
      </c>
      <c r="G257" s="207">
        <v>46047.0</v>
      </c>
      <c r="H257" s="78" t="s">
        <v>69</v>
      </c>
      <c r="I257" s="78" t="s">
        <v>660</v>
      </c>
      <c r="J257" s="21"/>
      <c r="K257" s="21"/>
    </row>
    <row r="258" ht="13.5" customHeight="1">
      <c r="A258" s="78">
        <v>254.0</v>
      </c>
      <c r="B258" s="207">
        <v>46048.0</v>
      </c>
      <c r="C258" s="78">
        <v>47.0</v>
      </c>
      <c r="D258" s="78">
        <v>8.0</v>
      </c>
      <c r="E258" s="78">
        <v>12.0</v>
      </c>
      <c r="F258" s="78" t="s">
        <v>661</v>
      </c>
      <c r="G258" s="207">
        <v>46049.0</v>
      </c>
      <c r="H258" s="78" t="s">
        <v>69</v>
      </c>
      <c r="I258" s="78"/>
      <c r="J258" s="21"/>
      <c r="K258" s="21"/>
    </row>
    <row r="259" ht="13.5" customHeight="1">
      <c r="A259" s="78">
        <v>255.0</v>
      </c>
      <c r="B259" s="207">
        <v>46048.0</v>
      </c>
      <c r="C259" s="78">
        <v>19.0</v>
      </c>
      <c r="D259" s="78">
        <v>7.0</v>
      </c>
      <c r="E259" s="78">
        <v>2.0</v>
      </c>
      <c r="F259" s="78" t="s">
        <v>659</v>
      </c>
      <c r="G259" s="207">
        <v>46048.0</v>
      </c>
      <c r="H259" s="78" t="s">
        <v>69</v>
      </c>
      <c r="I259" s="78" t="s">
        <v>660</v>
      </c>
      <c r="J259" s="21"/>
      <c r="K259" s="21"/>
    </row>
    <row r="260" ht="13.5" customHeight="1">
      <c r="A260" s="78">
        <v>256.0</v>
      </c>
      <c r="B260" s="207">
        <v>46048.0</v>
      </c>
      <c r="C260" s="78">
        <v>55.0</v>
      </c>
      <c r="D260" s="78">
        <v>7.0</v>
      </c>
      <c r="E260" s="78">
        <v>4.0</v>
      </c>
      <c r="F260" s="78" t="s">
        <v>659</v>
      </c>
      <c r="G260" s="207">
        <v>46048.0</v>
      </c>
      <c r="H260" s="78" t="s">
        <v>69</v>
      </c>
      <c r="I260" s="78" t="s">
        <v>660</v>
      </c>
      <c r="J260" s="21"/>
      <c r="K260" s="21"/>
    </row>
    <row r="261" ht="13.5" customHeight="1">
      <c r="A261" s="78">
        <v>257.0</v>
      </c>
      <c r="B261" s="207">
        <v>46048.0</v>
      </c>
      <c r="C261" s="78">
        <v>51.0</v>
      </c>
      <c r="D261" s="78">
        <v>27.0</v>
      </c>
      <c r="E261" s="78">
        <v>6.0</v>
      </c>
      <c r="F261" s="78" t="s">
        <v>662</v>
      </c>
      <c r="G261" s="207">
        <v>46049.0</v>
      </c>
      <c r="H261" s="78" t="s">
        <v>69</v>
      </c>
      <c r="I261" s="78"/>
      <c r="J261" s="21"/>
      <c r="K261" s="21"/>
    </row>
    <row r="262" ht="13.5" customHeight="1">
      <c r="A262" s="78">
        <v>258.0</v>
      </c>
      <c r="B262" s="207">
        <v>46048.0</v>
      </c>
      <c r="C262" s="78">
        <v>60.0</v>
      </c>
      <c r="D262" s="78">
        <v>30.0</v>
      </c>
      <c r="E262" s="78">
        <v>6.0</v>
      </c>
      <c r="F262" s="78" t="s">
        <v>659</v>
      </c>
      <c r="G262" s="207">
        <v>46048.0</v>
      </c>
      <c r="H262" s="78" t="s">
        <v>69</v>
      </c>
      <c r="I262" s="78" t="s">
        <v>660</v>
      </c>
      <c r="J262" s="21"/>
      <c r="K262" s="21"/>
    </row>
    <row r="263" ht="13.5" customHeight="1">
      <c r="A263" s="78">
        <v>259.0</v>
      </c>
      <c r="B263" s="207">
        <v>46048.0</v>
      </c>
      <c r="C263" s="78">
        <v>76.0</v>
      </c>
      <c r="D263" s="78">
        <v>13.0</v>
      </c>
      <c r="E263" s="78">
        <v>15.0</v>
      </c>
      <c r="F263" s="78" t="s">
        <v>663</v>
      </c>
      <c r="G263" s="207">
        <v>46049.0</v>
      </c>
      <c r="H263" s="78" t="s">
        <v>69</v>
      </c>
      <c r="I263" s="85"/>
      <c r="J263" s="21"/>
      <c r="K263" s="21"/>
    </row>
    <row r="264" ht="13.5" customHeight="1">
      <c r="A264" s="78">
        <v>260.0</v>
      </c>
      <c r="B264" s="207">
        <v>46048.0</v>
      </c>
      <c r="C264" s="78">
        <v>39.0</v>
      </c>
      <c r="D264" s="78">
        <v>17.0</v>
      </c>
      <c r="E264" s="78">
        <v>10.0</v>
      </c>
      <c r="F264" s="78" t="s">
        <v>659</v>
      </c>
      <c r="G264" s="207">
        <v>46048.0</v>
      </c>
      <c r="H264" s="78" t="s">
        <v>69</v>
      </c>
      <c r="I264" s="78" t="s">
        <v>660</v>
      </c>
      <c r="J264" s="21"/>
      <c r="K264" s="21"/>
    </row>
    <row r="265" ht="13.5" customHeight="1">
      <c r="A265" s="78">
        <v>261.0</v>
      </c>
      <c r="B265" s="207">
        <v>46052.0</v>
      </c>
      <c r="C265" s="78">
        <v>110.0</v>
      </c>
      <c r="D265" s="78">
        <v>9.0</v>
      </c>
      <c r="E265" s="78">
        <v>7.0</v>
      </c>
      <c r="F265" s="78" t="s">
        <v>659</v>
      </c>
      <c r="G265" s="207">
        <v>46052.0</v>
      </c>
      <c r="H265" s="78" t="s">
        <v>69</v>
      </c>
      <c r="I265" s="78" t="s">
        <v>660</v>
      </c>
      <c r="J265" s="21"/>
      <c r="K265" s="21"/>
    </row>
    <row r="266" ht="13.5" customHeight="1">
      <c r="A266" s="78">
        <v>262.0</v>
      </c>
      <c r="B266" s="207">
        <v>46052.0</v>
      </c>
      <c r="C266" s="78">
        <v>34.0</v>
      </c>
      <c r="D266" s="78">
        <v>14.0</v>
      </c>
      <c r="E266" s="78">
        <v>1.0</v>
      </c>
      <c r="F266" s="78" t="s">
        <v>664</v>
      </c>
      <c r="G266" s="207">
        <v>46054.0</v>
      </c>
      <c r="H266" s="78" t="s">
        <v>69</v>
      </c>
      <c r="I266" s="85"/>
      <c r="J266" s="21"/>
      <c r="K266" s="21"/>
    </row>
    <row r="267" ht="13.5" customHeight="1">
      <c r="A267" s="78">
        <v>263.0</v>
      </c>
      <c r="B267" s="207">
        <v>46055.0</v>
      </c>
      <c r="C267" s="78">
        <v>41.0</v>
      </c>
      <c r="D267" s="78">
        <v>2.0</v>
      </c>
      <c r="E267" s="78">
        <v>13.0</v>
      </c>
      <c r="F267" s="78" t="s">
        <v>665</v>
      </c>
      <c r="G267" s="207">
        <v>46058.0</v>
      </c>
      <c r="H267" s="78" t="s">
        <v>69</v>
      </c>
      <c r="I267" s="78" t="s">
        <v>590</v>
      </c>
      <c r="J267" s="21"/>
      <c r="K267" s="21"/>
    </row>
    <row r="268" ht="13.5" customHeight="1">
      <c r="A268" s="78">
        <v>264.0</v>
      </c>
      <c r="B268" s="207">
        <v>46056.0</v>
      </c>
      <c r="C268" s="78">
        <v>7.0</v>
      </c>
      <c r="D268" s="78">
        <v>33.0</v>
      </c>
      <c r="E268" s="78">
        <v>3.0</v>
      </c>
      <c r="F268" s="78" t="s">
        <v>665</v>
      </c>
      <c r="G268" s="207">
        <v>46058.0</v>
      </c>
      <c r="H268" s="78" t="s">
        <v>69</v>
      </c>
      <c r="I268" s="78" t="s">
        <v>590</v>
      </c>
      <c r="J268" s="21"/>
      <c r="K268" s="21"/>
    </row>
    <row r="269" ht="13.5" customHeight="1">
      <c r="A269" s="78">
        <v>265.0</v>
      </c>
      <c r="B269" s="207">
        <v>46056.0</v>
      </c>
      <c r="C269" s="78">
        <v>7.0</v>
      </c>
      <c r="D269" s="78">
        <v>33.0</v>
      </c>
      <c r="E269" s="78">
        <v>4.0</v>
      </c>
      <c r="F269" s="78" t="s">
        <v>665</v>
      </c>
      <c r="G269" s="207">
        <v>46058.0</v>
      </c>
      <c r="H269" s="78" t="s">
        <v>69</v>
      </c>
      <c r="I269" s="78" t="s">
        <v>590</v>
      </c>
      <c r="J269" s="21"/>
      <c r="K269" s="21"/>
    </row>
    <row r="270" ht="13.5" customHeight="1">
      <c r="A270" s="78">
        <v>266.0</v>
      </c>
      <c r="B270" s="207">
        <v>46060.0</v>
      </c>
      <c r="C270" s="78">
        <v>108.0</v>
      </c>
      <c r="D270" s="78">
        <v>3.0</v>
      </c>
      <c r="E270" s="78">
        <v>1.0</v>
      </c>
      <c r="F270" s="78" t="s">
        <v>664</v>
      </c>
      <c r="G270" s="207">
        <v>46061.0</v>
      </c>
      <c r="H270" s="78" t="s">
        <v>69</v>
      </c>
      <c r="I270" s="78" t="s">
        <v>666</v>
      </c>
      <c r="J270" s="21"/>
      <c r="K270" s="21"/>
    </row>
    <row r="271" ht="13.5" customHeight="1">
      <c r="A271" s="78">
        <v>267.0</v>
      </c>
      <c r="B271" s="207">
        <v>46060.0</v>
      </c>
      <c r="C271" s="78">
        <v>57.0</v>
      </c>
      <c r="D271" s="78">
        <v>8.0</v>
      </c>
      <c r="E271" s="78">
        <v>9.0</v>
      </c>
      <c r="F271" s="78" t="s">
        <v>345</v>
      </c>
      <c r="G271" s="207">
        <v>46061.0</v>
      </c>
      <c r="H271" s="78" t="s">
        <v>69</v>
      </c>
      <c r="I271" s="78" t="s">
        <v>621</v>
      </c>
      <c r="J271" s="21"/>
      <c r="K271" s="21"/>
    </row>
    <row r="272" ht="13.5" customHeight="1">
      <c r="A272" s="78">
        <v>268.0</v>
      </c>
      <c r="B272" s="207">
        <v>46062.0</v>
      </c>
      <c r="C272" s="78">
        <v>50.0</v>
      </c>
      <c r="D272" s="78">
        <v>26.0</v>
      </c>
      <c r="E272" s="78">
        <v>11.0</v>
      </c>
      <c r="F272" s="78" t="s">
        <v>659</v>
      </c>
      <c r="G272" s="207">
        <v>46065.0</v>
      </c>
      <c r="H272" s="78" t="s">
        <v>69</v>
      </c>
      <c r="I272" s="78" t="s">
        <v>667</v>
      </c>
      <c r="J272" s="21"/>
      <c r="K272" s="21"/>
    </row>
    <row r="273" ht="13.5" customHeight="1">
      <c r="A273" s="78">
        <v>269.0</v>
      </c>
      <c r="B273" s="207">
        <v>46073.0</v>
      </c>
      <c r="C273" s="78">
        <v>44.0</v>
      </c>
      <c r="D273" s="78">
        <v>2.0</v>
      </c>
      <c r="E273" s="78">
        <v>14.0</v>
      </c>
      <c r="F273" s="78" t="s">
        <v>659</v>
      </c>
      <c r="G273" s="207">
        <v>46073.0</v>
      </c>
      <c r="H273" s="78" t="s">
        <v>69</v>
      </c>
      <c r="I273" s="78" t="s">
        <v>668</v>
      </c>
      <c r="J273" s="21"/>
      <c r="K273" s="21"/>
    </row>
    <row r="274" ht="13.5" customHeight="1">
      <c r="A274" s="78">
        <v>270.0</v>
      </c>
      <c r="B274" s="207">
        <v>46078.0</v>
      </c>
      <c r="C274" s="78">
        <v>83.0</v>
      </c>
      <c r="D274" s="78">
        <v>18.0</v>
      </c>
      <c r="E274" s="78">
        <v>5.0</v>
      </c>
      <c r="F274" s="78" t="s">
        <v>658</v>
      </c>
      <c r="G274" s="207">
        <v>46078.0</v>
      </c>
      <c r="H274" s="78" t="s">
        <v>69</v>
      </c>
      <c r="I274" s="78" t="s">
        <v>669</v>
      </c>
      <c r="J274" s="21"/>
      <c r="K274" s="21"/>
    </row>
    <row r="275" ht="13.5" customHeight="1">
      <c r="A275" s="77">
        <v>271.0</v>
      </c>
      <c r="B275" s="148">
        <v>46092.0</v>
      </c>
      <c r="C275" s="77">
        <v>107.0</v>
      </c>
      <c r="D275" s="77">
        <v>16.0</v>
      </c>
      <c r="E275" s="77">
        <v>8.0</v>
      </c>
      <c r="F275" s="77" t="s">
        <v>670</v>
      </c>
      <c r="G275" s="211"/>
      <c r="H275" s="85"/>
      <c r="I275" s="77" t="s">
        <v>671</v>
      </c>
      <c r="J275" s="21"/>
      <c r="K275" s="21"/>
      <c r="R275" s="212"/>
      <c r="S275" s="152"/>
      <c r="T275" s="152"/>
      <c r="U275" s="152"/>
      <c r="V275" s="152"/>
      <c r="W275" s="152"/>
      <c r="X275" s="152"/>
      <c r="Y275" s="152"/>
      <c r="Z275" s="152"/>
    </row>
    <row r="276" ht="13.5" customHeight="1">
      <c r="A276" s="77">
        <v>272.0</v>
      </c>
      <c r="B276" s="148">
        <v>46092.0</v>
      </c>
      <c r="C276" s="77">
        <v>76.0</v>
      </c>
      <c r="D276" s="77">
        <v>13.0</v>
      </c>
      <c r="E276" s="77">
        <v>15.0</v>
      </c>
      <c r="F276" s="85"/>
      <c r="G276" s="211"/>
      <c r="H276" s="85"/>
      <c r="I276" s="77" t="s">
        <v>672</v>
      </c>
      <c r="J276" s="21"/>
      <c r="K276" s="21"/>
    </row>
    <row r="277" ht="13.5" customHeight="1">
      <c r="A277" s="125"/>
      <c r="B277" s="125"/>
      <c r="C277" s="125"/>
      <c r="D277" s="125"/>
      <c r="E277" s="125"/>
      <c r="F277" s="125"/>
      <c r="G277" s="125"/>
      <c r="H277" s="125"/>
      <c r="I277" s="125"/>
      <c r="J277" s="21"/>
      <c r="K277" s="21"/>
    </row>
    <row r="278" ht="13.5" customHeight="1">
      <c r="A278" s="125"/>
      <c r="B278" s="125"/>
      <c r="C278" s="125"/>
      <c r="D278" s="125"/>
      <c r="E278" s="125"/>
      <c r="F278" s="125"/>
      <c r="G278" s="125"/>
      <c r="H278" s="125"/>
      <c r="I278" s="125"/>
      <c r="J278" s="21"/>
      <c r="K278" s="21"/>
    </row>
    <row r="279" ht="13.5" customHeight="1">
      <c r="A279" s="125"/>
      <c r="B279" s="125"/>
      <c r="C279" s="125"/>
      <c r="D279" s="125"/>
      <c r="E279" s="125"/>
      <c r="F279" s="125"/>
      <c r="G279" s="125"/>
      <c r="H279" s="125"/>
      <c r="I279" s="125"/>
      <c r="J279" s="21"/>
      <c r="K279" s="21"/>
    </row>
    <row r="280" ht="13.5" customHeight="1">
      <c r="A280" s="125"/>
      <c r="B280" s="125"/>
      <c r="C280" s="125"/>
      <c r="D280" s="125"/>
      <c r="E280" s="125"/>
      <c r="F280" s="125"/>
      <c r="G280" s="125"/>
      <c r="H280" s="125"/>
      <c r="I280" s="125"/>
      <c r="J280" s="21"/>
      <c r="K280" s="21"/>
    </row>
    <row r="281" ht="13.5" customHeight="1">
      <c r="A281" s="125"/>
      <c r="B281" s="125"/>
      <c r="C281" s="125"/>
      <c r="D281" s="125"/>
      <c r="E281" s="125"/>
      <c r="F281" s="125"/>
      <c r="G281" s="125"/>
      <c r="H281" s="125"/>
      <c r="I281" s="125"/>
      <c r="J281" s="21"/>
      <c r="K281" s="21"/>
    </row>
    <row r="282" ht="13.5" customHeight="1">
      <c r="A282" s="125"/>
      <c r="B282" s="125"/>
      <c r="C282" s="125"/>
      <c r="D282" s="125"/>
      <c r="E282" s="125"/>
      <c r="F282" s="125"/>
      <c r="G282" s="125"/>
      <c r="H282" s="125"/>
      <c r="I282" s="125"/>
      <c r="J282" s="21"/>
      <c r="K282" s="21"/>
    </row>
    <row r="283" ht="13.5" customHeight="1">
      <c r="A283" s="125"/>
      <c r="B283" s="125"/>
      <c r="C283" s="125"/>
      <c r="D283" s="125"/>
      <c r="E283" s="125"/>
      <c r="F283" s="125"/>
      <c r="G283" s="125"/>
      <c r="H283" s="125"/>
      <c r="I283" s="125"/>
      <c r="J283" s="21"/>
      <c r="K283" s="21"/>
    </row>
    <row r="284" ht="13.5" customHeight="1">
      <c r="A284" s="125"/>
      <c r="B284" s="125"/>
      <c r="C284" s="125"/>
      <c r="D284" s="125"/>
      <c r="E284" s="125"/>
      <c r="F284" s="125"/>
      <c r="G284" s="125"/>
      <c r="H284" s="125"/>
      <c r="I284" s="125"/>
      <c r="J284" s="21"/>
      <c r="K284" s="21"/>
    </row>
    <row r="285" ht="13.5" customHeight="1">
      <c r="A285" s="125"/>
      <c r="B285" s="125"/>
      <c r="C285" s="125"/>
      <c r="D285" s="125"/>
      <c r="E285" s="125"/>
      <c r="F285" s="125"/>
      <c r="G285" s="125"/>
      <c r="H285" s="125"/>
      <c r="I285" s="125"/>
      <c r="J285" s="21"/>
      <c r="K285" s="21"/>
    </row>
    <row r="286" ht="13.5" customHeight="1">
      <c r="A286" s="125"/>
      <c r="B286" s="125"/>
      <c r="C286" s="125"/>
      <c r="D286" s="125"/>
      <c r="E286" s="125"/>
      <c r="F286" s="125"/>
      <c r="G286" s="125"/>
      <c r="H286" s="125"/>
      <c r="I286" s="125"/>
      <c r="J286" s="21"/>
      <c r="K286" s="21"/>
    </row>
    <row r="287" ht="13.5" customHeight="1">
      <c r="A287" s="125"/>
      <c r="B287" s="125"/>
      <c r="C287" s="125"/>
      <c r="D287" s="125"/>
      <c r="E287" s="125"/>
      <c r="F287" s="125"/>
      <c r="G287" s="125"/>
      <c r="H287" s="125"/>
      <c r="I287" s="125"/>
      <c r="J287" s="21"/>
      <c r="K287" s="21"/>
    </row>
    <row r="288" ht="13.5" customHeight="1">
      <c r="A288" s="125"/>
      <c r="B288" s="125"/>
      <c r="C288" s="125"/>
      <c r="D288" s="125"/>
      <c r="E288" s="125"/>
      <c r="F288" s="125"/>
      <c r="G288" s="125"/>
      <c r="H288" s="125"/>
      <c r="I288" s="125"/>
      <c r="J288" s="21"/>
      <c r="K288" s="21"/>
    </row>
    <row r="289" ht="13.5" customHeight="1">
      <c r="A289" s="125"/>
      <c r="B289" s="125"/>
      <c r="C289" s="125"/>
      <c r="D289" s="125"/>
      <c r="E289" s="125"/>
      <c r="F289" s="125"/>
      <c r="G289" s="125"/>
      <c r="H289" s="125"/>
      <c r="I289" s="125"/>
      <c r="J289" s="21"/>
      <c r="K289" s="21"/>
    </row>
    <row r="290" ht="13.5" customHeight="1">
      <c r="A290" s="125"/>
      <c r="B290" s="125"/>
      <c r="C290" s="125"/>
      <c r="D290" s="125"/>
      <c r="E290" s="125"/>
      <c r="F290" s="125"/>
      <c r="G290" s="125"/>
      <c r="H290" s="125"/>
      <c r="I290" s="125"/>
      <c r="J290" s="21"/>
      <c r="K290" s="21"/>
    </row>
    <row r="291" ht="13.5" customHeight="1">
      <c r="A291" s="125"/>
      <c r="B291" s="125"/>
      <c r="C291" s="125"/>
      <c r="D291" s="125"/>
      <c r="E291" s="125"/>
      <c r="F291" s="125"/>
      <c r="G291" s="125"/>
      <c r="H291" s="125"/>
      <c r="I291" s="125"/>
      <c r="J291" s="21"/>
      <c r="K291" s="21"/>
    </row>
    <row r="292" ht="13.5" customHeight="1">
      <c r="A292" s="125"/>
      <c r="B292" s="125"/>
      <c r="C292" s="125"/>
      <c r="D292" s="125"/>
      <c r="E292" s="125"/>
      <c r="F292" s="125"/>
      <c r="G292" s="125"/>
      <c r="H292" s="125"/>
      <c r="I292" s="125"/>
      <c r="J292" s="21"/>
      <c r="K292" s="21"/>
    </row>
    <row r="293" ht="13.5" customHeight="1">
      <c r="A293" s="125"/>
      <c r="B293" s="125"/>
      <c r="C293" s="125"/>
      <c r="D293" s="125"/>
      <c r="E293" s="125"/>
      <c r="F293" s="125"/>
      <c r="G293" s="125"/>
      <c r="H293" s="125"/>
      <c r="I293" s="125"/>
      <c r="J293" s="21"/>
      <c r="K293" s="21"/>
    </row>
    <row r="294" ht="13.5" customHeight="1">
      <c r="A294" s="125"/>
      <c r="B294" s="125"/>
      <c r="C294" s="125"/>
      <c r="D294" s="125"/>
      <c r="E294" s="125"/>
      <c r="F294" s="125"/>
      <c r="G294" s="125"/>
      <c r="H294" s="125"/>
      <c r="I294" s="125"/>
      <c r="J294" s="21"/>
      <c r="K294" s="21"/>
    </row>
    <row r="295" ht="13.5" customHeight="1">
      <c r="A295" s="125"/>
      <c r="B295" s="125"/>
      <c r="C295" s="125"/>
      <c r="D295" s="125"/>
      <c r="E295" s="125"/>
      <c r="F295" s="125"/>
      <c r="G295" s="125"/>
      <c r="H295" s="125"/>
      <c r="I295" s="125"/>
      <c r="J295" s="21"/>
      <c r="K295" s="21"/>
    </row>
    <row r="296" ht="13.5" customHeight="1">
      <c r="A296" s="125"/>
      <c r="B296" s="125"/>
      <c r="C296" s="125"/>
      <c r="D296" s="125"/>
      <c r="E296" s="125"/>
      <c r="F296" s="125"/>
      <c r="G296" s="125"/>
      <c r="H296" s="125"/>
      <c r="I296" s="125"/>
      <c r="J296" s="21"/>
      <c r="K296" s="21"/>
    </row>
    <row r="297" ht="13.5" customHeight="1">
      <c r="A297" s="125"/>
      <c r="B297" s="125"/>
      <c r="C297" s="125"/>
      <c r="D297" s="125"/>
      <c r="E297" s="125"/>
      <c r="F297" s="125"/>
      <c r="G297" s="125"/>
      <c r="H297" s="125"/>
      <c r="I297" s="125"/>
      <c r="J297" s="21"/>
      <c r="K297" s="21"/>
    </row>
    <row r="298" ht="13.5" customHeight="1">
      <c r="A298" s="125"/>
      <c r="B298" s="125"/>
      <c r="C298" s="125"/>
      <c r="D298" s="125"/>
      <c r="E298" s="125"/>
      <c r="F298" s="125"/>
      <c r="G298" s="125"/>
      <c r="H298" s="125"/>
      <c r="I298" s="125"/>
      <c r="J298" s="21"/>
      <c r="K298" s="21"/>
    </row>
    <row r="299" ht="13.5" customHeight="1">
      <c r="A299" s="125"/>
      <c r="B299" s="125"/>
      <c r="C299" s="125"/>
      <c r="D299" s="125"/>
      <c r="E299" s="125"/>
      <c r="F299" s="125"/>
      <c r="G299" s="125"/>
      <c r="H299" s="125"/>
      <c r="I299" s="125"/>
      <c r="J299" s="21"/>
      <c r="K299" s="21"/>
    </row>
    <row r="300" ht="13.5" customHeight="1">
      <c r="A300" s="125"/>
      <c r="B300" s="125"/>
      <c r="C300" s="125"/>
      <c r="D300" s="125"/>
      <c r="E300" s="125"/>
      <c r="F300" s="125"/>
      <c r="G300" s="125"/>
      <c r="H300" s="125"/>
      <c r="I300" s="125"/>
      <c r="J300" s="21"/>
      <c r="K300" s="21"/>
    </row>
    <row r="301" ht="13.5" customHeight="1">
      <c r="A301" s="125"/>
      <c r="B301" s="125"/>
      <c r="C301" s="125"/>
      <c r="D301" s="125"/>
      <c r="E301" s="125"/>
      <c r="F301" s="125"/>
      <c r="G301" s="125"/>
      <c r="H301" s="125"/>
      <c r="I301" s="125"/>
      <c r="J301" s="21"/>
      <c r="K301" s="21"/>
    </row>
    <row r="302" ht="13.5" customHeight="1">
      <c r="A302" s="125"/>
      <c r="B302" s="125"/>
      <c r="C302" s="125"/>
      <c r="D302" s="125"/>
      <c r="E302" s="125"/>
      <c r="F302" s="125"/>
      <c r="G302" s="125"/>
      <c r="H302" s="125"/>
      <c r="I302" s="125"/>
      <c r="J302" s="21"/>
      <c r="K302" s="21"/>
    </row>
    <row r="303" ht="13.5" customHeight="1">
      <c r="A303" s="125"/>
      <c r="B303" s="125"/>
      <c r="C303" s="125"/>
      <c r="D303" s="125"/>
      <c r="E303" s="125"/>
      <c r="F303" s="125"/>
      <c r="G303" s="125"/>
      <c r="H303" s="125"/>
      <c r="I303" s="125"/>
      <c r="J303" s="21"/>
      <c r="K303" s="21"/>
    </row>
    <row r="304" ht="13.5" customHeight="1">
      <c r="A304" s="125"/>
      <c r="B304" s="125"/>
      <c r="C304" s="125"/>
      <c r="D304" s="125"/>
      <c r="E304" s="125"/>
      <c r="F304" s="125"/>
      <c r="G304" s="125"/>
      <c r="H304" s="125"/>
      <c r="I304" s="125"/>
      <c r="J304" s="21"/>
      <c r="K304" s="21"/>
    </row>
    <row r="305" ht="13.5" customHeight="1">
      <c r="A305" s="125"/>
      <c r="B305" s="125"/>
      <c r="C305" s="125"/>
      <c r="D305" s="125"/>
      <c r="E305" s="125"/>
      <c r="F305" s="125"/>
      <c r="G305" s="125"/>
      <c r="H305" s="125"/>
      <c r="I305" s="125"/>
      <c r="J305" s="21"/>
      <c r="K305" s="21"/>
    </row>
    <row r="306" ht="13.5" customHeight="1">
      <c r="A306" s="125"/>
      <c r="B306" s="125"/>
      <c r="C306" s="125"/>
      <c r="D306" s="125"/>
      <c r="E306" s="125"/>
      <c r="F306" s="125"/>
      <c r="G306" s="125"/>
      <c r="H306" s="125"/>
      <c r="I306" s="125"/>
      <c r="J306" s="21"/>
      <c r="K306" s="21"/>
    </row>
    <row r="307" ht="13.5" customHeight="1">
      <c r="A307" s="125"/>
      <c r="B307" s="125"/>
      <c r="C307" s="125"/>
      <c r="D307" s="125"/>
      <c r="E307" s="125"/>
      <c r="F307" s="125"/>
      <c r="G307" s="125"/>
      <c r="H307" s="125"/>
      <c r="I307" s="125"/>
      <c r="J307" s="21"/>
      <c r="K307" s="21"/>
    </row>
    <row r="308" ht="13.5" customHeight="1">
      <c r="A308" s="125"/>
      <c r="B308" s="125"/>
      <c r="C308" s="125"/>
      <c r="D308" s="125"/>
      <c r="E308" s="125"/>
      <c r="F308" s="125"/>
      <c r="G308" s="125"/>
      <c r="H308" s="125"/>
      <c r="I308" s="125"/>
      <c r="J308" s="21"/>
      <c r="K308" s="21"/>
    </row>
    <row r="309" ht="13.5" customHeight="1">
      <c r="A309" s="125"/>
      <c r="B309" s="125"/>
      <c r="C309" s="125"/>
      <c r="D309" s="125"/>
      <c r="E309" s="125"/>
      <c r="F309" s="125"/>
      <c r="G309" s="125"/>
      <c r="H309" s="125"/>
      <c r="I309" s="125"/>
      <c r="J309" s="21"/>
      <c r="K309" s="21"/>
    </row>
    <row r="310" ht="13.5" customHeight="1">
      <c r="A310" s="125"/>
      <c r="B310" s="125"/>
      <c r="C310" s="125"/>
      <c r="D310" s="125"/>
      <c r="E310" s="125"/>
      <c r="F310" s="125"/>
      <c r="G310" s="125"/>
      <c r="H310" s="125"/>
      <c r="I310" s="125"/>
      <c r="J310" s="21"/>
      <c r="K310" s="21"/>
    </row>
    <row r="311" ht="13.5" customHeight="1">
      <c r="A311" s="125"/>
      <c r="B311" s="125"/>
      <c r="C311" s="125"/>
      <c r="D311" s="125"/>
      <c r="E311" s="125"/>
      <c r="F311" s="125"/>
      <c r="G311" s="125"/>
      <c r="H311" s="125"/>
      <c r="I311" s="125"/>
      <c r="J311" s="21"/>
      <c r="K311" s="21"/>
    </row>
    <row r="312" ht="13.5" customHeight="1">
      <c r="A312" s="125"/>
      <c r="B312" s="125"/>
      <c r="C312" s="125"/>
      <c r="D312" s="125"/>
      <c r="E312" s="125"/>
      <c r="F312" s="125"/>
      <c r="G312" s="125"/>
      <c r="H312" s="125"/>
      <c r="I312" s="125"/>
      <c r="J312" s="21"/>
      <c r="K312" s="21"/>
    </row>
    <row r="313" ht="13.5" customHeight="1">
      <c r="A313" s="125"/>
      <c r="B313" s="125"/>
      <c r="C313" s="125"/>
      <c r="D313" s="125"/>
      <c r="E313" s="125"/>
      <c r="F313" s="125"/>
      <c r="G313" s="125"/>
      <c r="H313" s="125"/>
      <c r="I313" s="125"/>
      <c r="J313" s="21"/>
      <c r="K313" s="21"/>
    </row>
    <row r="314" ht="13.5" customHeight="1">
      <c r="A314" s="125"/>
      <c r="B314" s="125"/>
      <c r="C314" s="125"/>
      <c r="D314" s="125"/>
      <c r="E314" s="125"/>
      <c r="F314" s="125"/>
      <c r="G314" s="125"/>
      <c r="H314" s="125"/>
      <c r="I314" s="125"/>
      <c r="J314" s="21"/>
      <c r="K314" s="21"/>
    </row>
    <row r="315" ht="13.5" customHeight="1">
      <c r="A315" s="125"/>
      <c r="B315" s="125"/>
      <c r="C315" s="125"/>
      <c r="D315" s="125"/>
      <c r="E315" s="125"/>
      <c r="F315" s="125"/>
      <c r="G315" s="125"/>
      <c r="H315" s="125"/>
      <c r="I315" s="125"/>
      <c r="J315" s="21"/>
      <c r="K315" s="21"/>
    </row>
    <row r="316" ht="13.5" customHeight="1">
      <c r="A316" s="125"/>
      <c r="B316" s="125"/>
      <c r="C316" s="125"/>
      <c r="D316" s="125"/>
      <c r="E316" s="125"/>
      <c r="F316" s="125"/>
      <c r="G316" s="125"/>
      <c r="H316" s="125"/>
      <c r="I316" s="125"/>
      <c r="J316" s="21"/>
      <c r="K316" s="21"/>
    </row>
    <row r="317" ht="13.5" customHeight="1">
      <c r="A317" s="125"/>
      <c r="B317" s="125"/>
      <c r="C317" s="125"/>
      <c r="D317" s="125"/>
      <c r="E317" s="125"/>
      <c r="F317" s="125"/>
      <c r="G317" s="125"/>
      <c r="H317" s="125"/>
      <c r="I317" s="125"/>
      <c r="J317" s="21"/>
      <c r="K317" s="21"/>
    </row>
    <row r="318" ht="13.5" customHeight="1">
      <c r="A318" s="125"/>
      <c r="B318" s="125"/>
      <c r="C318" s="125"/>
      <c r="D318" s="125"/>
      <c r="E318" s="125"/>
      <c r="F318" s="125"/>
      <c r="G318" s="125"/>
      <c r="H318" s="125"/>
      <c r="I318" s="125"/>
      <c r="J318" s="21"/>
      <c r="K318" s="21"/>
    </row>
    <row r="319" ht="13.5" customHeight="1">
      <c r="A319" s="125"/>
      <c r="B319" s="125"/>
      <c r="C319" s="125"/>
      <c r="D319" s="125"/>
      <c r="E319" s="125"/>
      <c r="F319" s="125"/>
      <c r="G319" s="125"/>
      <c r="H319" s="125"/>
      <c r="I319" s="125"/>
      <c r="J319" s="21"/>
      <c r="K319" s="21"/>
    </row>
    <row r="320" ht="13.5" customHeight="1">
      <c r="A320" s="125"/>
      <c r="B320" s="125"/>
      <c r="C320" s="125"/>
      <c r="D320" s="125"/>
      <c r="E320" s="125"/>
      <c r="F320" s="125"/>
      <c r="G320" s="125"/>
      <c r="H320" s="125"/>
      <c r="I320" s="125"/>
      <c r="J320" s="21"/>
      <c r="K320" s="21"/>
    </row>
    <row r="321" ht="13.5" customHeight="1">
      <c r="A321" s="125"/>
      <c r="B321" s="125"/>
      <c r="C321" s="125"/>
      <c r="D321" s="125"/>
      <c r="E321" s="125"/>
      <c r="F321" s="125"/>
      <c r="G321" s="125"/>
      <c r="H321" s="125"/>
      <c r="I321" s="125"/>
      <c r="J321" s="21"/>
      <c r="K321" s="21"/>
    </row>
    <row r="322" ht="13.5" customHeight="1">
      <c r="A322" s="125"/>
      <c r="B322" s="125"/>
      <c r="C322" s="125"/>
      <c r="D322" s="125"/>
      <c r="E322" s="125"/>
      <c r="F322" s="125"/>
      <c r="G322" s="125"/>
      <c r="H322" s="125"/>
      <c r="I322" s="125"/>
      <c r="J322" s="21"/>
      <c r="K322" s="21"/>
    </row>
    <row r="323" ht="13.5" customHeight="1">
      <c r="A323" s="125"/>
      <c r="B323" s="125"/>
      <c r="C323" s="125"/>
      <c r="D323" s="125"/>
      <c r="E323" s="125"/>
      <c r="F323" s="125"/>
      <c r="G323" s="125"/>
      <c r="H323" s="125"/>
      <c r="I323" s="125"/>
      <c r="J323" s="21"/>
      <c r="K323" s="21"/>
    </row>
    <row r="324" ht="13.5" customHeight="1">
      <c r="A324" s="125"/>
      <c r="B324" s="125"/>
      <c r="C324" s="125"/>
      <c r="D324" s="125"/>
      <c r="E324" s="125"/>
      <c r="F324" s="125"/>
      <c r="G324" s="125"/>
      <c r="H324" s="125"/>
      <c r="I324" s="125"/>
      <c r="J324" s="21"/>
      <c r="K324" s="21"/>
    </row>
    <row r="325" ht="13.5" customHeight="1">
      <c r="A325" s="125"/>
      <c r="B325" s="125"/>
      <c r="C325" s="125"/>
      <c r="D325" s="125"/>
      <c r="E325" s="125"/>
      <c r="F325" s="125"/>
      <c r="G325" s="125"/>
      <c r="H325" s="125"/>
      <c r="I325" s="125"/>
      <c r="J325" s="21"/>
      <c r="K325" s="21"/>
    </row>
    <row r="326" ht="13.5" customHeight="1">
      <c r="A326" s="125"/>
      <c r="B326" s="125"/>
      <c r="C326" s="125"/>
      <c r="D326" s="125"/>
      <c r="E326" s="125"/>
      <c r="F326" s="125"/>
      <c r="G326" s="125"/>
      <c r="H326" s="125"/>
      <c r="I326" s="125"/>
      <c r="J326" s="21"/>
      <c r="K326" s="21"/>
    </row>
    <row r="327" ht="13.5" customHeight="1">
      <c r="A327" s="125"/>
      <c r="B327" s="125"/>
      <c r="C327" s="125"/>
      <c r="D327" s="125"/>
      <c r="E327" s="125"/>
      <c r="F327" s="125"/>
      <c r="G327" s="125"/>
      <c r="H327" s="125"/>
      <c r="I327" s="125"/>
      <c r="J327" s="21"/>
      <c r="K327" s="21"/>
    </row>
    <row r="328" ht="13.5" customHeight="1">
      <c r="A328" s="125"/>
      <c r="B328" s="125"/>
      <c r="C328" s="125"/>
      <c r="D328" s="125"/>
      <c r="E328" s="125"/>
      <c r="F328" s="125"/>
      <c r="G328" s="125"/>
      <c r="H328" s="125"/>
      <c r="I328" s="125"/>
      <c r="J328" s="21"/>
      <c r="K328" s="21"/>
    </row>
    <row r="329" ht="13.5" customHeight="1">
      <c r="A329" s="125"/>
      <c r="B329" s="125"/>
      <c r="C329" s="125"/>
      <c r="D329" s="125"/>
      <c r="E329" s="125"/>
      <c r="F329" s="125"/>
      <c r="G329" s="125"/>
      <c r="H329" s="125"/>
      <c r="I329" s="125"/>
      <c r="J329" s="21"/>
      <c r="K329" s="21"/>
    </row>
    <row r="330" ht="13.5" customHeight="1">
      <c r="A330" s="125"/>
      <c r="B330" s="125"/>
      <c r="C330" s="125"/>
      <c r="D330" s="125"/>
      <c r="E330" s="125"/>
      <c r="F330" s="125"/>
      <c r="G330" s="125"/>
      <c r="H330" s="125"/>
      <c r="I330" s="125"/>
      <c r="J330" s="21"/>
      <c r="K330" s="21"/>
    </row>
    <row r="331" ht="13.5" customHeight="1">
      <c r="A331" s="125"/>
      <c r="B331" s="125"/>
      <c r="C331" s="125"/>
      <c r="D331" s="125"/>
      <c r="E331" s="125"/>
      <c r="F331" s="125"/>
      <c r="G331" s="125"/>
      <c r="H331" s="125"/>
      <c r="I331" s="125"/>
      <c r="J331" s="21"/>
      <c r="K331" s="21"/>
    </row>
    <row r="332" ht="13.5" customHeight="1">
      <c r="A332" s="125"/>
      <c r="B332" s="125"/>
      <c r="C332" s="125"/>
      <c r="D332" s="125"/>
      <c r="E332" s="125"/>
      <c r="F332" s="125"/>
      <c r="G332" s="125"/>
      <c r="H332" s="125"/>
      <c r="I332" s="125"/>
      <c r="J332" s="21"/>
      <c r="K332" s="21"/>
    </row>
    <row r="333" ht="13.5" customHeight="1">
      <c r="A333" s="125"/>
      <c r="B333" s="125"/>
      <c r="C333" s="125"/>
      <c r="D333" s="125"/>
      <c r="E333" s="125"/>
      <c r="F333" s="125"/>
      <c r="G333" s="125"/>
      <c r="H333" s="125"/>
      <c r="I333" s="125"/>
      <c r="J333" s="21"/>
      <c r="K333" s="21"/>
    </row>
    <row r="334" ht="13.5" customHeight="1">
      <c r="A334" s="125"/>
      <c r="B334" s="125"/>
      <c r="C334" s="125"/>
      <c r="D334" s="125"/>
      <c r="E334" s="125"/>
      <c r="F334" s="125"/>
      <c r="G334" s="125"/>
      <c r="H334" s="125"/>
      <c r="I334" s="125"/>
      <c r="J334" s="21"/>
      <c r="K334" s="21"/>
    </row>
    <row r="335" ht="13.5" customHeight="1">
      <c r="A335" s="125"/>
      <c r="B335" s="125"/>
      <c r="C335" s="125"/>
      <c r="D335" s="125"/>
      <c r="E335" s="125"/>
      <c r="F335" s="125"/>
      <c r="G335" s="125"/>
      <c r="H335" s="125"/>
      <c r="I335" s="125"/>
      <c r="J335" s="21"/>
      <c r="K335" s="21"/>
    </row>
    <row r="336" ht="13.5" customHeight="1">
      <c r="A336" s="125"/>
      <c r="B336" s="125"/>
      <c r="C336" s="125"/>
      <c r="D336" s="125"/>
      <c r="E336" s="125"/>
      <c r="F336" s="125"/>
      <c r="G336" s="125"/>
      <c r="H336" s="125"/>
      <c r="I336" s="125"/>
      <c r="J336" s="21"/>
      <c r="K336" s="21"/>
    </row>
    <row r="337" ht="13.5" customHeight="1">
      <c r="A337" s="125"/>
      <c r="B337" s="125"/>
      <c r="C337" s="125"/>
      <c r="D337" s="125"/>
      <c r="E337" s="125"/>
      <c r="F337" s="125"/>
      <c r="G337" s="125"/>
      <c r="H337" s="125"/>
      <c r="I337" s="125"/>
      <c r="J337" s="21"/>
      <c r="K337" s="21"/>
    </row>
    <row r="338" ht="13.5" customHeight="1">
      <c r="A338" s="125"/>
      <c r="B338" s="125"/>
      <c r="C338" s="125"/>
      <c r="D338" s="125"/>
      <c r="E338" s="125"/>
      <c r="F338" s="125"/>
      <c r="G338" s="125"/>
      <c r="H338" s="125"/>
      <c r="I338" s="125"/>
      <c r="J338" s="21"/>
      <c r="K338" s="21"/>
    </row>
    <row r="339" ht="13.5" customHeight="1">
      <c r="A339" s="125"/>
      <c r="B339" s="125"/>
      <c r="C339" s="125"/>
      <c r="D339" s="125"/>
      <c r="E339" s="125"/>
      <c r="F339" s="125"/>
      <c r="G339" s="125"/>
      <c r="H339" s="125"/>
      <c r="I339" s="125"/>
      <c r="J339" s="21"/>
      <c r="K339" s="21"/>
    </row>
    <row r="340" ht="13.5" customHeight="1">
      <c r="A340" s="125"/>
      <c r="B340" s="125"/>
      <c r="C340" s="125"/>
      <c r="D340" s="125"/>
      <c r="E340" s="125"/>
      <c r="F340" s="125"/>
      <c r="G340" s="125"/>
      <c r="H340" s="125"/>
      <c r="I340" s="125"/>
      <c r="J340" s="21"/>
      <c r="K340" s="21"/>
    </row>
    <row r="341" ht="13.5" customHeight="1">
      <c r="A341" s="125"/>
      <c r="B341" s="125"/>
      <c r="C341" s="125"/>
      <c r="D341" s="125"/>
      <c r="E341" s="125"/>
      <c r="F341" s="125"/>
      <c r="G341" s="125"/>
      <c r="H341" s="125"/>
      <c r="I341" s="125"/>
      <c r="J341" s="21"/>
      <c r="K341" s="21"/>
    </row>
    <row r="342" ht="13.5" customHeight="1">
      <c r="A342" s="125"/>
      <c r="B342" s="125"/>
      <c r="C342" s="125"/>
      <c r="D342" s="125"/>
      <c r="E342" s="125"/>
      <c r="F342" s="125"/>
      <c r="G342" s="125"/>
      <c r="H342" s="125"/>
      <c r="I342" s="125"/>
      <c r="J342" s="21"/>
      <c r="K342" s="21"/>
    </row>
    <row r="343" ht="13.5" customHeight="1">
      <c r="A343" s="125"/>
      <c r="B343" s="125"/>
      <c r="C343" s="125"/>
      <c r="D343" s="125"/>
      <c r="E343" s="125"/>
      <c r="F343" s="125"/>
      <c r="G343" s="125"/>
      <c r="H343" s="125"/>
      <c r="I343" s="125"/>
      <c r="J343" s="21"/>
      <c r="K343" s="21"/>
    </row>
    <row r="344" ht="13.5" customHeight="1">
      <c r="A344" s="125"/>
      <c r="B344" s="125"/>
      <c r="C344" s="125"/>
      <c r="D344" s="125"/>
      <c r="E344" s="125"/>
      <c r="F344" s="125"/>
      <c r="G344" s="125"/>
      <c r="H344" s="125"/>
      <c r="I344" s="125"/>
      <c r="J344" s="21"/>
      <c r="K344" s="21"/>
    </row>
    <row r="345" ht="13.5" customHeight="1">
      <c r="A345" s="125"/>
      <c r="B345" s="125"/>
      <c r="C345" s="125"/>
      <c r="D345" s="125"/>
      <c r="E345" s="125"/>
      <c r="F345" s="125"/>
      <c r="G345" s="125"/>
      <c r="H345" s="125"/>
      <c r="I345" s="125"/>
      <c r="J345" s="21"/>
      <c r="K345" s="21"/>
    </row>
    <row r="346" ht="13.5" customHeight="1">
      <c r="A346" s="125"/>
      <c r="B346" s="125"/>
      <c r="C346" s="125"/>
      <c r="D346" s="125"/>
      <c r="E346" s="125"/>
      <c r="F346" s="125"/>
      <c r="G346" s="125"/>
      <c r="H346" s="125"/>
      <c r="I346" s="125"/>
      <c r="J346" s="21"/>
      <c r="K346" s="21"/>
    </row>
    <row r="347" ht="13.5" customHeight="1">
      <c r="A347" s="125"/>
      <c r="B347" s="125"/>
      <c r="C347" s="125"/>
      <c r="D347" s="125"/>
      <c r="E347" s="125"/>
      <c r="F347" s="125"/>
      <c r="G347" s="125"/>
      <c r="H347" s="125"/>
      <c r="I347" s="125"/>
      <c r="J347" s="21"/>
      <c r="K347" s="21"/>
    </row>
    <row r="348" ht="13.5" customHeight="1">
      <c r="A348" s="125"/>
      <c r="B348" s="125"/>
      <c r="C348" s="125"/>
      <c r="D348" s="125"/>
      <c r="E348" s="125"/>
      <c r="F348" s="125"/>
      <c r="G348" s="125"/>
      <c r="H348" s="125"/>
      <c r="I348" s="125"/>
      <c r="J348" s="21"/>
      <c r="K348" s="21"/>
    </row>
    <row r="349" ht="13.5" customHeight="1">
      <c r="A349" s="125"/>
      <c r="B349" s="125"/>
      <c r="C349" s="125"/>
      <c r="D349" s="125"/>
      <c r="E349" s="125"/>
      <c r="F349" s="125"/>
      <c r="G349" s="125"/>
      <c r="H349" s="125"/>
      <c r="I349" s="125"/>
      <c r="J349" s="21"/>
      <c r="K349" s="21"/>
    </row>
    <row r="350" ht="13.5" customHeight="1">
      <c r="A350" s="125"/>
      <c r="B350" s="125"/>
      <c r="C350" s="125"/>
      <c r="D350" s="125"/>
      <c r="E350" s="125"/>
      <c r="F350" s="125"/>
      <c r="G350" s="125"/>
      <c r="H350" s="125"/>
      <c r="I350" s="125"/>
      <c r="J350" s="21"/>
      <c r="K350" s="21"/>
    </row>
    <row r="351" ht="13.5" customHeight="1">
      <c r="A351" s="125"/>
      <c r="B351" s="125"/>
      <c r="C351" s="125"/>
      <c r="D351" s="125"/>
      <c r="E351" s="125"/>
      <c r="F351" s="125"/>
      <c r="G351" s="125"/>
      <c r="H351" s="125"/>
      <c r="I351" s="125"/>
      <c r="J351" s="21"/>
      <c r="K351" s="21"/>
    </row>
    <row r="352" ht="13.5" customHeight="1">
      <c r="A352" s="125"/>
      <c r="B352" s="125"/>
      <c r="C352" s="125"/>
      <c r="D352" s="125"/>
      <c r="E352" s="125"/>
      <c r="F352" s="125"/>
      <c r="G352" s="125"/>
      <c r="H352" s="125"/>
      <c r="I352" s="125"/>
      <c r="J352" s="21"/>
      <c r="K352" s="21"/>
    </row>
    <row r="353" ht="13.5" customHeight="1">
      <c r="A353" s="125"/>
      <c r="B353" s="125"/>
      <c r="C353" s="125"/>
      <c r="D353" s="125"/>
      <c r="E353" s="125"/>
      <c r="F353" s="125"/>
      <c r="G353" s="125"/>
      <c r="H353" s="125"/>
      <c r="I353" s="125"/>
      <c r="J353" s="21"/>
      <c r="K353" s="21"/>
    </row>
    <row r="354" ht="13.5" customHeight="1">
      <c r="A354" s="125"/>
      <c r="B354" s="125"/>
      <c r="C354" s="125"/>
      <c r="D354" s="125"/>
      <c r="E354" s="125"/>
      <c r="F354" s="125"/>
      <c r="G354" s="125"/>
      <c r="H354" s="125"/>
      <c r="I354" s="125"/>
      <c r="J354" s="21"/>
      <c r="K354" s="21"/>
    </row>
    <row r="355" ht="13.5" customHeight="1">
      <c r="A355" s="125"/>
      <c r="B355" s="125"/>
      <c r="C355" s="125"/>
      <c r="D355" s="125"/>
      <c r="E355" s="125"/>
      <c r="F355" s="125"/>
      <c r="G355" s="125"/>
      <c r="H355" s="125"/>
      <c r="I355" s="125"/>
      <c r="J355" s="21"/>
      <c r="K355" s="21"/>
    </row>
    <row r="356" ht="13.5" customHeight="1">
      <c r="A356" s="125"/>
      <c r="B356" s="125"/>
      <c r="C356" s="125"/>
      <c r="D356" s="125"/>
      <c r="E356" s="125"/>
      <c r="F356" s="125"/>
      <c r="G356" s="125"/>
      <c r="H356" s="125"/>
      <c r="I356" s="125"/>
      <c r="J356" s="21"/>
      <c r="K356" s="21"/>
    </row>
    <row r="357" ht="13.5" customHeight="1">
      <c r="A357" s="125"/>
      <c r="B357" s="125"/>
      <c r="C357" s="125"/>
      <c r="D357" s="125"/>
      <c r="E357" s="125"/>
      <c r="F357" s="125"/>
      <c r="G357" s="125"/>
      <c r="H357" s="125"/>
      <c r="I357" s="125"/>
      <c r="J357" s="21"/>
      <c r="K357" s="21"/>
    </row>
    <row r="358" ht="13.5" customHeight="1">
      <c r="A358" s="125"/>
      <c r="B358" s="125"/>
      <c r="C358" s="125"/>
      <c r="D358" s="125"/>
      <c r="E358" s="125"/>
      <c r="F358" s="125"/>
      <c r="G358" s="125"/>
      <c r="H358" s="125"/>
      <c r="I358" s="125"/>
      <c r="J358" s="21"/>
      <c r="K358" s="21"/>
    </row>
    <row r="359" ht="13.5" customHeight="1">
      <c r="A359" s="125"/>
      <c r="B359" s="125"/>
      <c r="C359" s="125"/>
      <c r="D359" s="125"/>
      <c r="E359" s="125"/>
      <c r="F359" s="125"/>
      <c r="G359" s="125"/>
      <c r="H359" s="125"/>
      <c r="I359" s="125"/>
      <c r="J359" s="21"/>
      <c r="K359" s="21"/>
    </row>
    <row r="360" ht="13.5" customHeight="1">
      <c r="A360" s="125"/>
      <c r="B360" s="125"/>
      <c r="C360" s="125"/>
      <c r="D360" s="125"/>
      <c r="E360" s="125"/>
      <c r="F360" s="125"/>
      <c r="G360" s="125"/>
      <c r="H360" s="125"/>
      <c r="I360" s="125"/>
      <c r="J360" s="21"/>
      <c r="K360" s="21"/>
    </row>
    <row r="361" ht="13.5" customHeight="1">
      <c r="A361" s="125"/>
      <c r="B361" s="125"/>
      <c r="C361" s="125"/>
      <c r="D361" s="125"/>
      <c r="E361" s="125"/>
      <c r="F361" s="125"/>
      <c r="G361" s="125"/>
      <c r="H361" s="125"/>
      <c r="I361" s="125"/>
      <c r="J361" s="21"/>
      <c r="K361" s="21"/>
    </row>
    <row r="362" ht="13.5" customHeight="1">
      <c r="A362" s="125"/>
      <c r="B362" s="125"/>
      <c r="C362" s="125"/>
      <c r="D362" s="125"/>
      <c r="E362" s="125"/>
      <c r="F362" s="125"/>
      <c r="G362" s="125"/>
      <c r="H362" s="125"/>
      <c r="I362" s="125"/>
      <c r="J362" s="21"/>
      <c r="K362" s="21"/>
    </row>
    <row r="363" ht="13.5" customHeight="1">
      <c r="A363" s="125"/>
      <c r="B363" s="125"/>
      <c r="C363" s="125"/>
      <c r="D363" s="125"/>
      <c r="E363" s="125"/>
      <c r="F363" s="125"/>
      <c r="G363" s="125"/>
      <c r="H363" s="125"/>
      <c r="I363" s="125"/>
      <c r="J363" s="21"/>
      <c r="K363" s="21"/>
    </row>
    <row r="364" ht="13.5" customHeight="1">
      <c r="A364" s="125"/>
      <c r="B364" s="125"/>
      <c r="C364" s="125"/>
      <c r="D364" s="125"/>
      <c r="E364" s="125"/>
      <c r="F364" s="125"/>
      <c r="G364" s="125"/>
      <c r="H364" s="125"/>
      <c r="I364" s="125"/>
      <c r="J364" s="21"/>
      <c r="K364" s="21"/>
    </row>
    <row r="365" ht="13.5" customHeight="1">
      <c r="A365" s="125"/>
      <c r="B365" s="125"/>
      <c r="C365" s="125"/>
      <c r="D365" s="125"/>
      <c r="E365" s="125"/>
      <c r="F365" s="125"/>
      <c r="G365" s="125"/>
      <c r="H365" s="125"/>
      <c r="I365" s="125"/>
      <c r="J365" s="21"/>
      <c r="K365" s="21"/>
    </row>
    <row r="366" ht="13.5" customHeight="1">
      <c r="A366" s="125"/>
      <c r="B366" s="125"/>
      <c r="C366" s="125"/>
      <c r="D366" s="125"/>
      <c r="E366" s="125"/>
      <c r="F366" s="125"/>
      <c r="G366" s="125"/>
      <c r="H366" s="125"/>
      <c r="I366" s="125"/>
      <c r="J366" s="21"/>
      <c r="K366" s="21"/>
    </row>
    <row r="367" ht="13.5" customHeight="1">
      <c r="A367" s="125"/>
      <c r="B367" s="125"/>
      <c r="C367" s="125"/>
      <c r="D367" s="125"/>
      <c r="E367" s="125"/>
      <c r="F367" s="125"/>
      <c r="G367" s="125"/>
      <c r="H367" s="125"/>
      <c r="I367" s="125"/>
      <c r="J367" s="21"/>
      <c r="K367" s="21"/>
    </row>
    <row r="368" ht="13.5" customHeight="1">
      <c r="A368" s="125"/>
      <c r="B368" s="125"/>
      <c r="C368" s="125"/>
      <c r="D368" s="125"/>
      <c r="E368" s="125"/>
      <c r="F368" s="125"/>
      <c r="G368" s="125"/>
      <c r="H368" s="125"/>
      <c r="I368" s="125"/>
      <c r="J368" s="21"/>
      <c r="K368" s="21"/>
    </row>
    <row r="369" ht="13.5" customHeight="1">
      <c r="A369" s="125"/>
      <c r="B369" s="125"/>
      <c r="C369" s="125"/>
      <c r="D369" s="125"/>
      <c r="E369" s="125"/>
      <c r="F369" s="125"/>
      <c r="G369" s="125"/>
      <c r="H369" s="125"/>
      <c r="I369" s="125"/>
      <c r="J369" s="21"/>
      <c r="K369" s="21"/>
    </row>
    <row r="370" ht="13.5" customHeight="1">
      <c r="A370" s="125"/>
      <c r="B370" s="125"/>
      <c r="C370" s="125"/>
      <c r="D370" s="125"/>
      <c r="E370" s="125"/>
      <c r="F370" s="125"/>
      <c r="G370" s="125"/>
      <c r="H370" s="125"/>
      <c r="I370" s="125"/>
      <c r="J370" s="21"/>
      <c r="K370" s="21"/>
    </row>
    <row r="371" ht="13.5" customHeight="1">
      <c r="A371" s="125"/>
      <c r="B371" s="125"/>
      <c r="C371" s="125"/>
      <c r="D371" s="125"/>
      <c r="E371" s="125"/>
      <c r="F371" s="125"/>
      <c r="G371" s="125"/>
      <c r="H371" s="125"/>
      <c r="I371" s="125"/>
      <c r="J371" s="21"/>
      <c r="K371" s="21"/>
    </row>
    <row r="372" ht="13.5" customHeight="1">
      <c r="A372" s="125"/>
      <c r="B372" s="125"/>
      <c r="C372" s="125"/>
      <c r="D372" s="125"/>
      <c r="E372" s="125"/>
      <c r="F372" s="125"/>
      <c r="G372" s="125"/>
      <c r="H372" s="125"/>
      <c r="I372" s="125"/>
      <c r="J372" s="21"/>
      <c r="K372" s="21"/>
    </row>
    <row r="373" ht="13.5" customHeight="1">
      <c r="A373" s="125"/>
      <c r="B373" s="125"/>
      <c r="C373" s="125"/>
      <c r="D373" s="125"/>
      <c r="E373" s="125"/>
      <c r="F373" s="125"/>
      <c r="G373" s="125"/>
      <c r="H373" s="125"/>
      <c r="I373" s="125"/>
      <c r="J373" s="21"/>
      <c r="K373" s="21"/>
    </row>
    <row r="374" ht="13.5" customHeight="1">
      <c r="A374" s="125"/>
      <c r="B374" s="125"/>
      <c r="C374" s="125"/>
      <c r="D374" s="125"/>
      <c r="E374" s="125"/>
      <c r="F374" s="125"/>
      <c r="G374" s="125"/>
      <c r="H374" s="125"/>
      <c r="I374" s="125"/>
      <c r="J374" s="21"/>
      <c r="K374" s="21"/>
    </row>
    <row r="375" ht="13.5" customHeight="1">
      <c r="A375" s="125"/>
      <c r="B375" s="125"/>
      <c r="C375" s="125"/>
      <c r="D375" s="125"/>
      <c r="E375" s="125"/>
      <c r="F375" s="125"/>
      <c r="G375" s="125"/>
      <c r="H375" s="125"/>
      <c r="I375" s="125"/>
      <c r="J375" s="21"/>
      <c r="K375" s="21"/>
    </row>
    <row r="376" ht="13.5" customHeight="1">
      <c r="A376" s="125"/>
      <c r="B376" s="125"/>
      <c r="C376" s="125"/>
      <c r="D376" s="125"/>
      <c r="E376" s="125"/>
      <c r="F376" s="125"/>
      <c r="G376" s="125"/>
      <c r="H376" s="125"/>
      <c r="I376" s="125"/>
      <c r="J376" s="21"/>
      <c r="K376" s="21"/>
    </row>
    <row r="377" ht="13.5" customHeight="1">
      <c r="A377" s="125"/>
      <c r="B377" s="125"/>
      <c r="C377" s="125"/>
      <c r="D377" s="125"/>
      <c r="E377" s="125"/>
      <c r="F377" s="125"/>
      <c r="G377" s="125"/>
      <c r="H377" s="125"/>
      <c r="I377" s="125"/>
      <c r="J377" s="21"/>
      <c r="K377" s="21"/>
    </row>
    <row r="378" ht="13.5" customHeight="1">
      <c r="A378" s="125"/>
      <c r="B378" s="125"/>
      <c r="C378" s="125"/>
      <c r="D378" s="125"/>
      <c r="E378" s="125"/>
      <c r="F378" s="125"/>
      <c r="G378" s="125"/>
      <c r="H378" s="125"/>
      <c r="I378" s="125"/>
      <c r="J378" s="21"/>
      <c r="K378" s="21"/>
    </row>
    <row r="379" ht="13.5" customHeight="1">
      <c r="A379" s="125"/>
      <c r="B379" s="125"/>
      <c r="C379" s="125"/>
      <c r="D379" s="125"/>
      <c r="E379" s="125"/>
      <c r="F379" s="125"/>
      <c r="G379" s="125"/>
      <c r="H379" s="125"/>
      <c r="I379" s="125"/>
      <c r="J379" s="21"/>
      <c r="K379" s="21"/>
    </row>
    <row r="380" ht="13.5" customHeight="1">
      <c r="A380" s="125"/>
      <c r="B380" s="125"/>
      <c r="C380" s="125"/>
      <c r="D380" s="125"/>
      <c r="E380" s="125"/>
      <c r="F380" s="125"/>
      <c r="G380" s="125"/>
      <c r="H380" s="125"/>
      <c r="I380" s="125"/>
      <c r="J380" s="21"/>
      <c r="K380" s="21"/>
    </row>
    <row r="381" ht="13.5" customHeight="1">
      <c r="A381" s="125"/>
      <c r="B381" s="125"/>
      <c r="C381" s="125"/>
      <c r="D381" s="125"/>
      <c r="E381" s="125"/>
      <c r="F381" s="125"/>
      <c r="G381" s="125"/>
      <c r="H381" s="125"/>
      <c r="I381" s="125"/>
      <c r="J381" s="21"/>
      <c r="K381" s="21"/>
    </row>
    <row r="382" ht="13.5" customHeight="1">
      <c r="A382" s="125"/>
      <c r="B382" s="125"/>
      <c r="C382" s="125"/>
      <c r="D382" s="125"/>
      <c r="E382" s="125"/>
      <c r="F382" s="125"/>
      <c r="G382" s="125"/>
      <c r="H382" s="125"/>
      <c r="I382" s="125"/>
      <c r="J382" s="21"/>
      <c r="K382" s="21"/>
    </row>
    <row r="383" ht="13.5" customHeight="1">
      <c r="A383" s="125"/>
      <c r="B383" s="125"/>
      <c r="C383" s="125"/>
      <c r="D383" s="125"/>
      <c r="E383" s="125"/>
      <c r="F383" s="125"/>
      <c r="G383" s="125"/>
      <c r="H383" s="125"/>
      <c r="I383" s="125"/>
      <c r="J383" s="21"/>
      <c r="K383" s="21"/>
    </row>
    <row r="384" ht="13.5" customHeight="1">
      <c r="A384" s="125"/>
      <c r="B384" s="125"/>
      <c r="C384" s="125"/>
      <c r="D384" s="125"/>
      <c r="E384" s="125"/>
      <c r="F384" s="125"/>
      <c r="G384" s="125"/>
      <c r="H384" s="125"/>
      <c r="I384" s="125"/>
      <c r="J384" s="21"/>
      <c r="K384" s="21"/>
    </row>
    <row r="385" ht="13.5" customHeight="1">
      <c r="A385" s="125"/>
      <c r="B385" s="125"/>
      <c r="C385" s="125"/>
      <c r="D385" s="125"/>
      <c r="E385" s="125"/>
      <c r="F385" s="125"/>
      <c r="G385" s="125"/>
      <c r="H385" s="125"/>
      <c r="I385" s="125"/>
      <c r="J385" s="21"/>
      <c r="K385" s="21"/>
    </row>
    <row r="386" ht="13.5" customHeight="1">
      <c r="A386" s="125"/>
      <c r="B386" s="125"/>
      <c r="C386" s="125"/>
      <c r="D386" s="125"/>
      <c r="E386" s="125"/>
      <c r="F386" s="125"/>
      <c r="G386" s="125"/>
      <c r="H386" s="125"/>
      <c r="I386" s="125"/>
      <c r="J386" s="21"/>
      <c r="K386" s="21"/>
    </row>
    <row r="387" ht="13.5" customHeight="1">
      <c r="A387" s="125"/>
      <c r="B387" s="125"/>
      <c r="C387" s="125"/>
      <c r="D387" s="125"/>
      <c r="E387" s="125"/>
      <c r="F387" s="125"/>
      <c r="G387" s="125"/>
      <c r="H387" s="125"/>
      <c r="I387" s="125"/>
      <c r="J387" s="21"/>
      <c r="K387" s="21"/>
    </row>
    <row r="388" ht="13.5" customHeight="1">
      <c r="A388" s="125"/>
      <c r="B388" s="125"/>
      <c r="C388" s="125"/>
      <c r="D388" s="125"/>
      <c r="E388" s="125"/>
      <c r="F388" s="125"/>
      <c r="G388" s="125"/>
      <c r="H388" s="125"/>
      <c r="I388" s="125"/>
      <c r="J388" s="21"/>
      <c r="K388" s="21"/>
    </row>
    <row r="389" ht="13.5" customHeight="1">
      <c r="A389" s="125"/>
      <c r="B389" s="125"/>
      <c r="C389" s="125"/>
      <c r="D389" s="125"/>
      <c r="E389" s="125"/>
      <c r="F389" s="125"/>
      <c r="G389" s="125"/>
      <c r="H389" s="125"/>
      <c r="I389" s="125"/>
      <c r="J389" s="21"/>
      <c r="K389" s="21"/>
    </row>
    <row r="390" ht="13.5" customHeight="1">
      <c r="A390" s="125"/>
      <c r="B390" s="125"/>
      <c r="C390" s="125"/>
      <c r="D390" s="125"/>
      <c r="E390" s="125"/>
      <c r="F390" s="125"/>
      <c r="G390" s="125"/>
      <c r="H390" s="125"/>
      <c r="I390" s="125"/>
      <c r="J390" s="21"/>
      <c r="K390" s="21"/>
    </row>
    <row r="391" ht="13.5" customHeight="1">
      <c r="A391" s="125"/>
      <c r="B391" s="125"/>
      <c r="C391" s="125"/>
      <c r="D391" s="125"/>
      <c r="E391" s="125"/>
      <c r="F391" s="125"/>
      <c r="G391" s="125"/>
      <c r="H391" s="125"/>
      <c r="I391" s="125"/>
      <c r="J391" s="21"/>
      <c r="K391" s="21"/>
    </row>
    <row r="392" ht="13.5" customHeight="1">
      <c r="A392" s="125"/>
      <c r="B392" s="125"/>
      <c r="C392" s="125"/>
      <c r="D392" s="125"/>
      <c r="E392" s="125"/>
      <c r="F392" s="125"/>
      <c r="G392" s="125"/>
      <c r="H392" s="125"/>
      <c r="I392" s="125"/>
      <c r="J392" s="21"/>
      <c r="K392" s="21"/>
    </row>
    <row r="393" ht="13.5" customHeight="1">
      <c r="A393" s="125"/>
      <c r="B393" s="125"/>
      <c r="C393" s="125"/>
      <c r="D393" s="125"/>
      <c r="E393" s="125"/>
      <c r="F393" s="125"/>
      <c r="G393" s="125"/>
      <c r="H393" s="125"/>
      <c r="I393" s="125"/>
      <c r="J393" s="21"/>
      <c r="K393" s="21"/>
    </row>
    <row r="394" ht="13.5" customHeight="1">
      <c r="A394" s="125"/>
      <c r="B394" s="125"/>
      <c r="C394" s="125"/>
      <c r="D394" s="125"/>
      <c r="E394" s="125"/>
      <c r="F394" s="125"/>
      <c r="G394" s="125"/>
      <c r="H394" s="125"/>
      <c r="I394" s="125"/>
      <c r="J394" s="21"/>
      <c r="K394" s="21"/>
    </row>
    <row r="395" ht="13.5" customHeight="1">
      <c r="A395" s="125"/>
      <c r="B395" s="125"/>
      <c r="C395" s="125"/>
      <c r="D395" s="125"/>
      <c r="E395" s="125"/>
      <c r="F395" s="125"/>
      <c r="G395" s="125"/>
      <c r="H395" s="125"/>
      <c r="I395" s="125"/>
      <c r="J395" s="21"/>
      <c r="K395" s="21"/>
    </row>
    <row r="396" ht="13.5" customHeight="1">
      <c r="A396" s="125"/>
      <c r="B396" s="125"/>
      <c r="C396" s="125"/>
      <c r="D396" s="125"/>
      <c r="E396" s="125"/>
      <c r="F396" s="125"/>
      <c r="G396" s="125"/>
      <c r="H396" s="125"/>
      <c r="I396" s="125"/>
      <c r="J396" s="21"/>
      <c r="K396" s="21"/>
    </row>
    <row r="397" ht="13.5" customHeight="1">
      <c r="A397" s="125"/>
      <c r="B397" s="125"/>
      <c r="C397" s="125"/>
      <c r="D397" s="125"/>
      <c r="E397" s="125"/>
      <c r="F397" s="125"/>
      <c r="G397" s="125"/>
      <c r="H397" s="125"/>
      <c r="I397" s="125"/>
      <c r="J397" s="21"/>
      <c r="K397" s="21"/>
    </row>
    <row r="398" ht="13.5" customHeight="1">
      <c r="A398" s="125"/>
      <c r="B398" s="125"/>
      <c r="C398" s="125"/>
      <c r="D398" s="125"/>
      <c r="E398" s="125"/>
      <c r="F398" s="125"/>
      <c r="G398" s="125"/>
      <c r="H398" s="125"/>
      <c r="I398" s="125"/>
      <c r="J398" s="21"/>
      <c r="K398" s="21"/>
    </row>
    <row r="399" ht="13.5" customHeight="1">
      <c r="A399" s="125"/>
      <c r="B399" s="125"/>
      <c r="C399" s="125"/>
      <c r="D399" s="125"/>
      <c r="E399" s="125"/>
      <c r="F399" s="125"/>
      <c r="G399" s="125"/>
      <c r="H399" s="125"/>
      <c r="I399" s="125"/>
      <c r="J399" s="21"/>
      <c r="K399" s="21"/>
    </row>
    <row r="400" ht="13.5" customHeight="1">
      <c r="A400" s="125"/>
      <c r="B400" s="125"/>
      <c r="C400" s="125"/>
      <c r="D400" s="125"/>
      <c r="E400" s="125"/>
      <c r="F400" s="125"/>
      <c r="G400" s="125"/>
      <c r="H400" s="125"/>
      <c r="I400" s="125"/>
      <c r="J400" s="21"/>
      <c r="K400" s="21"/>
    </row>
    <row r="401" ht="13.5" customHeight="1">
      <c r="A401" s="125"/>
      <c r="B401" s="125"/>
      <c r="C401" s="125"/>
      <c r="D401" s="125"/>
      <c r="E401" s="125"/>
      <c r="F401" s="125"/>
      <c r="G401" s="125"/>
      <c r="H401" s="125"/>
      <c r="I401" s="125"/>
      <c r="J401" s="21"/>
      <c r="K401" s="21"/>
    </row>
    <row r="402" ht="13.5" customHeight="1">
      <c r="A402" s="125"/>
      <c r="B402" s="125"/>
      <c r="C402" s="125"/>
      <c r="D402" s="125"/>
      <c r="E402" s="125"/>
      <c r="F402" s="125"/>
      <c r="G402" s="125"/>
      <c r="H402" s="125"/>
      <c r="I402" s="125"/>
      <c r="J402" s="21"/>
      <c r="K402" s="21"/>
    </row>
    <row r="403" ht="13.5" customHeight="1">
      <c r="A403" s="125"/>
      <c r="B403" s="125"/>
      <c r="C403" s="125"/>
      <c r="D403" s="125"/>
      <c r="E403" s="125"/>
      <c r="F403" s="125"/>
      <c r="G403" s="125"/>
      <c r="H403" s="125"/>
      <c r="I403" s="125"/>
      <c r="J403" s="21"/>
      <c r="K403" s="21"/>
    </row>
    <row r="404" ht="13.5" customHeight="1">
      <c r="A404" s="125"/>
      <c r="B404" s="125"/>
      <c r="C404" s="125"/>
      <c r="D404" s="125"/>
      <c r="E404" s="125"/>
      <c r="F404" s="125"/>
      <c r="G404" s="125"/>
      <c r="H404" s="125"/>
      <c r="I404" s="125"/>
      <c r="J404" s="21"/>
      <c r="K404" s="21"/>
    </row>
    <row r="405" ht="13.5" customHeight="1">
      <c r="A405" s="125"/>
      <c r="B405" s="125"/>
      <c r="C405" s="125"/>
      <c r="D405" s="125"/>
      <c r="E405" s="125"/>
      <c r="F405" s="125"/>
      <c r="G405" s="125"/>
      <c r="H405" s="125"/>
      <c r="I405" s="125"/>
      <c r="J405" s="21"/>
      <c r="K405" s="21"/>
    </row>
    <row r="406" ht="13.5" customHeight="1">
      <c r="A406" s="125"/>
      <c r="B406" s="125"/>
      <c r="C406" s="125"/>
      <c r="D406" s="125"/>
      <c r="E406" s="125"/>
      <c r="F406" s="125"/>
      <c r="G406" s="125"/>
      <c r="H406" s="125"/>
      <c r="I406" s="125"/>
      <c r="J406" s="21"/>
      <c r="K406" s="21"/>
    </row>
    <row r="407" ht="13.5" customHeight="1">
      <c r="A407" s="125"/>
      <c r="B407" s="125"/>
      <c r="C407" s="125"/>
      <c r="D407" s="125"/>
      <c r="E407" s="125"/>
      <c r="F407" s="125"/>
      <c r="G407" s="125"/>
      <c r="H407" s="125"/>
      <c r="I407" s="125"/>
      <c r="J407" s="21"/>
      <c r="K407" s="21"/>
    </row>
    <row r="408" ht="13.5" customHeight="1">
      <c r="A408" s="125"/>
      <c r="B408" s="125"/>
      <c r="C408" s="125"/>
      <c r="D408" s="125"/>
      <c r="E408" s="125"/>
      <c r="F408" s="125"/>
      <c r="G408" s="125"/>
      <c r="H408" s="125"/>
      <c r="I408" s="125"/>
      <c r="J408" s="21"/>
      <c r="K408" s="21"/>
    </row>
    <row r="409" ht="13.5" customHeight="1">
      <c r="A409" s="125"/>
      <c r="B409" s="125"/>
      <c r="C409" s="125"/>
      <c r="D409" s="125"/>
      <c r="E409" s="125"/>
      <c r="F409" s="125"/>
      <c r="G409" s="125"/>
      <c r="H409" s="125"/>
      <c r="I409" s="125"/>
      <c r="J409" s="21"/>
      <c r="K409" s="21"/>
    </row>
    <row r="410" ht="13.5" customHeight="1">
      <c r="A410" s="125"/>
      <c r="B410" s="125"/>
      <c r="C410" s="125"/>
      <c r="D410" s="125"/>
      <c r="E410" s="125"/>
      <c r="F410" s="125"/>
      <c r="G410" s="125"/>
      <c r="H410" s="125"/>
      <c r="I410" s="125"/>
      <c r="J410" s="21"/>
      <c r="K410" s="21"/>
    </row>
    <row r="411" ht="13.5" customHeight="1">
      <c r="A411" s="125"/>
      <c r="B411" s="125"/>
      <c r="C411" s="125"/>
      <c r="D411" s="125"/>
      <c r="E411" s="125"/>
      <c r="F411" s="125"/>
      <c r="G411" s="125"/>
      <c r="H411" s="125"/>
      <c r="I411" s="125"/>
      <c r="J411" s="21"/>
      <c r="K411" s="21"/>
    </row>
    <row r="412" ht="13.5" customHeight="1">
      <c r="A412" s="125"/>
      <c r="B412" s="125"/>
      <c r="C412" s="125"/>
      <c r="D412" s="125"/>
      <c r="E412" s="125"/>
      <c r="F412" s="125"/>
      <c r="G412" s="125"/>
      <c r="H412" s="125"/>
      <c r="I412" s="125"/>
      <c r="J412" s="21"/>
      <c r="K412" s="21"/>
    </row>
    <row r="413" ht="13.5" customHeight="1">
      <c r="A413" s="125"/>
      <c r="B413" s="125"/>
      <c r="C413" s="125"/>
      <c r="D413" s="125"/>
      <c r="E413" s="125"/>
      <c r="F413" s="125"/>
      <c r="G413" s="125"/>
      <c r="H413" s="125"/>
      <c r="I413" s="125"/>
      <c r="J413" s="21"/>
      <c r="K413" s="21"/>
    </row>
    <row r="414" ht="13.5" customHeight="1">
      <c r="A414" s="125"/>
      <c r="B414" s="125"/>
      <c r="C414" s="125"/>
      <c r="D414" s="125"/>
      <c r="E414" s="125"/>
      <c r="F414" s="125"/>
      <c r="G414" s="125"/>
      <c r="H414" s="125"/>
      <c r="I414" s="125"/>
      <c r="J414" s="21"/>
      <c r="K414" s="21"/>
    </row>
    <row r="415" ht="13.5" customHeight="1">
      <c r="A415" s="125"/>
      <c r="B415" s="125"/>
      <c r="C415" s="125"/>
      <c r="D415" s="125"/>
      <c r="E415" s="125"/>
      <c r="F415" s="125"/>
      <c r="G415" s="125"/>
      <c r="H415" s="125"/>
      <c r="I415" s="125"/>
      <c r="J415" s="21"/>
      <c r="K415" s="21"/>
    </row>
    <row r="416" ht="13.5" customHeight="1">
      <c r="A416" s="125"/>
      <c r="B416" s="125"/>
      <c r="C416" s="125"/>
      <c r="D416" s="125"/>
      <c r="E416" s="125"/>
      <c r="F416" s="125"/>
      <c r="G416" s="125"/>
      <c r="H416" s="125"/>
      <c r="I416" s="125"/>
      <c r="J416" s="21"/>
      <c r="K416" s="21"/>
    </row>
    <row r="417" ht="13.5" customHeight="1">
      <c r="A417" s="125"/>
      <c r="B417" s="125"/>
      <c r="C417" s="125"/>
      <c r="D417" s="125"/>
      <c r="E417" s="125"/>
      <c r="F417" s="125"/>
      <c r="G417" s="125"/>
      <c r="H417" s="125"/>
      <c r="I417" s="125"/>
      <c r="J417" s="21"/>
      <c r="K417" s="21"/>
    </row>
    <row r="418" ht="13.5" customHeight="1">
      <c r="A418" s="125"/>
      <c r="B418" s="125"/>
      <c r="C418" s="125"/>
      <c r="D418" s="125"/>
      <c r="E418" s="125"/>
      <c r="F418" s="125"/>
      <c r="G418" s="125"/>
      <c r="H418" s="125"/>
      <c r="I418" s="125"/>
      <c r="J418" s="21"/>
      <c r="K418" s="21"/>
    </row>
    <row r="419" ht="13.5" customHeight="1">
      <c r="A419" s="125"/>
      <c r="B419" s="125"/>
      <c r="C419" s="125"/>
      <c r="D419" s="125"/>
      <c r="E419" s="125"/>
      <c r="F419" s="125"/>
      <c r="G419" s="125"/>
      <c r="H419" s="125"/>
      <c r="I419" s="125"/>
      <c r="J419" s="21"/>
      <c r="K419" s="21"/>
    </row>
    <row r="420" ht="13.5" customHeight="1">
      <c r="A420" s="125"/>
      <c r="B420" s="125"/>
      <c r="C420" s="125"/>
      <c r="D420" s="125"/>
      <c r="E420" s="125"/>
      <c r="F420" s="125"/>
      <c r="G420" s="125"/>
      <c r="H420" s="125"/>
      <c r="I420" s="125"/>
      <c r="J420" s="21"/>
      <c r="K420" s="21"/>
    </row>
    <row r="421" ht="13.5" customHeight="1">
      <c r="A421" s="125"/>
      <c r="B421" s="125"/>
      <c r="C421" s="125"/>
      <c r="D421" s="125"/>
      <c r="E421" s="125"/>
      <c r="F421" s="125"/>
      <c r="G421" s="125"/>
      <c r="H421" s="125"/>
      <c r="I421" s="125"/>
      <c r="J421" s="21"/>
      <c r="K421" s="21"/>
    </row>
    <row r="422" ht="13.5" customHeight="1">
      <c r="A422" s="125"/>
      <c r="B422" s="125"/>
      <c r="C422" s="125"/>
      <c r="D422" s="125"/>
      <c r="E422" s="125"/>
      <c r="F422" s="125"/>
      <c r="G422" s="125"/>
      <c r="H422" s="125"/>
      <c r="I422" s="125"/>
      <c r="J422" s="21"/>
      <c r="K422" s="21"/>
    </row>
    <row r="423" ht="13.5" customHeight="1">
      <c r="A423" s="125"/>
      <c r="B423" s="125"/>
      <c r="C423" s="125"/>
      <c r="D423" s="125"/>
      <c r="E423" s="125"/>
      <c r="F423" s="125"/>
      <c r="G423" s="125"/>
      <c r="H423" s="125"/>
      <c r="I423" s="125"/>
      <c r="J423" s="21"/>
      <c r="K423" s="21"/>
    </row>
    <row r="424" ht="13.5" customHeight="1">
      <c r="A424" s="125"/>
      <c r="B424" s="125"/>
      <c r="C424" s="125"/>
      <c r="D424" s="125"/>
      <c r="E424" s="125"/>
      <c r="F424" s="125"/>
      <c r="G424" s="125"/>
      <c r="H424" s="125"/>
      <c r="I424" s="125"/>
      <c r="J424" s="21"/>
      <c r="K424" s="21"/>
    </row>
    <row r="425" ht="13.5" customHeight="1">
      <c r="A425" s="125"/>
      <c r="B425" s="125"/>
      <c r="C425" s="125"/>
      <c r="D425" s="125"/>
      <c r="E425" s="125"/>
      <c r="F425" s="125"/>
      <c r="G425" s="125"/>
      <c r="H425" s="125"/>
      <c r="I425" s="125"/>
      <c r="J425" s="21"/>
      <c r="K425" s="21"/>
    </row>
    <row r="426" ht="13.5" customHeight="1">
      <c r="A426" s="125"/>
      <c r="B426" s="125"/>
      <c r="C426" s="125"/>
      <c r="D426" s="125"/>
      <c r="E426" s="125"/>
      <c r="F426" s="125"/>
      <c r="G426" s="125"/>
      <c r="H426" s="125"/>
      <c r="I426" s="125"/>
      <c r="J426" s="21"/>
      <c r="K426" s="21"/>
    </row>
    <row r="427" ht="13.5" customHeight="1">
      <c r="A427" s="125"/>
      <c r="B427" s="125"/>
      <c r="C427" s="125"/>
      <c r="D427" s="125"/>
      <c r="E427" s="125"/>
      <c r="F427" s="125"/>
      <c r="G427" s="125"/>
      <c r="H427" s="125"/>
      <c r="I427" s="125"/>
      <c r="J427" s="21"/>
      <c r="K427" s="21"/>
    </row>
    <row r="428" ht="13.5" customHeight="1">
      <c r="A428" s="125"/>
      <c r="B428" s="125"/>
      <c r="C428" s="125"/>
      <c r="D428" s="125"/>
      <c r="E428" s="125"/>
      <c r="F428" s="125"/>
      <c r="G428" s="125"/>
      <c r="H428" s="125"/>
      <c r="I428" s="125"/>
      <c r="J428" s="21"/>
      <c r="K428" s="21"/>
    </row>
    <row r="429" ht="13.5" customHeight="1">
      <c r="A429" s="125"/>
      <c r="B429" s="125"/>
      <c r="C429" s="125"/>
      <c r="D429" s="125"/>
      <c r="E429" s="125"/>
      <c r="F429" s="125"/>
      <c r="G429" s="125"/>
      <c r="H429" s="125"/>
      <c r="I429" s="125"/>
      <c r="J429" s="21"/>
      <c r="K429" s="21"/>
    </row>
    <row r="430" ht="13.5" customHeight="1">
      <c r="A430" s="125"/>
      <c r="B430" s="125"/>
      <c r="C430" s="125"/>
      <c r="D430" s="125"/>
      <c r="E430" s="125"/>
      <c r="F430" s="125"/>
      <c r="G430" s="125"/>
      <c r="H430" s="125"/>
      <c r="I430" s="125"/>
      <c r="J430" s="21"/>
      <c r="K430" s="21"/>
    </row>
    <row r="431" ht="13.5" customHeight="1">
      <c r="A431" s="125"/>
      <c r="B431" s="125"/>
      <c r="C431" s="125"/>
      <c r="D431" s="125"/>
      <c r="E431" s="125"/>
      <c r="F431" s="125"/>
      <c r="G431" s="125"/>
      <c r="H431" s="125"/>
      <c r="I431" s="125"/>
      <c r="J431" s="21"/>
      <c r="K431" s="21"/>
    </row>
    <row r="432" ht="13.5" customHeight="1">
      <c r="A432" s="125"/>
      <c r="B432" s="125"/>
      <c r="C432" s="125"/>
      <c r="D432" s="125"/>
      <c r="E432" s="125"/>
      <c r="F432" s="125"/>
      <c r="G432" s="125"/>
      <c r="H432" s="125"/>
      <c r="I432" s="125"/>
      <c r="J432" s="21"/>
      <c r="K432" s="21"/>
    </row>
    <row r="433" ht="13.5" customHeight="1">
      <c r="A433" s="125"/>
      <c r="B433" s="125"/>
      <c r="C433" s="125"/>
      <c r="D433" s="125"/>
      <c r="E433" s="125"/>
      <c r="F433" s="125"/>
      <c r="G433" s="125"/>
      <c r="H433" s="125"/>
      <c r="I433" s="125"/>
      <c r="J433" s="21"/>
      <c r="K433" s="21"/>
    </row>
    <row r="434" ht="13.5" customHeight="1">
      <c r="A434" s="125"/>
      <c r="B434" s="125"/>
      <c r="C434" s="125"/>
      <c r="D434" s="125"/>
      <c r="E434" s="125"/>
      <c r="F434" s="125"/>
      <c r="G434" s="125"/>
      <c r="H434" s="125"/>
      <c r="I434" s="125"/>
      <c r="J434" s="21"/>
      <c r="K434" s="21"/>
    </row>
    <row r="435" ht="13.5" customHeight="1">
      <c r="A435" s="125"/>
      <c r="B435" s="125"/>
      <c r="C435" s="125"/>
      <c r="D435" s="125"/>
      <c r="E435" s="125"/>
      <c r="F435" s="125"/>
      <c r="G435" s="125"/>
      <c r="H435" s="125"/>
      <c r="I435" s="125"/>
      <c r="J435" s="21"/>
      <c r="K435" s="21"/>
    </row>
    <row r="436" ht="13.5" customHeight="1">
      <c r="A436" s="125"/>
      <c r="B436" s="125"/>
      <c r="C436" s="125"/>
      <c r="D436" s="125"/>
      <c r="E436" s="125"/>
      <c r="F436" s="125"/>
      <c r="G436" s="125"/>
      <c r="H436" s="125"/>
      <c r="I436" s="125"/>
      <c r="J436" s="21"/>
      <c r="K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</row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249"/>
  <mergeCells count="6">
    <mergeCell ref="A1:B1"/>
    <mergeCell ref="C1:D1"/>
    <mergeCell ref="A2:B2"/>
    <mergeCell ref="C2:D2"/>
    <mergeCell ref="A3:B3"/>
    <mergeCell ref="C3:D3"/>
  </mergeCells>
  <conditionalFormatting sqref="H1:H466">
    <cfRule type="containsText" dxfId="1" priority="1" operator="containsText" text="Pending">
      <formula>NOT(ISERROR(SEARCH(("Pending"),(H1))))</formula>
    </cfRule>
  </conditionalFormatting>
  <conditionalFormatting sqref="H1:H466">
    <cfRule type="containsText" dxfId="6" priority="2" operator="containsText" text="Done">
      <formula>NOT(ISERROR(SEARCH(("Done"),(H1))))</formula>
    </cfRule>
  </conditionalFormatting>
  <conditionalFormatting sqref="D5:E37 D50:E96 D113:E115 D116">
    <cfRule type="expression" dxfId="5" priority="3">
      <formula>COUNTIFS($B:$B,$B6,$C:$C,$C16,$D:$D,$D6) &gt; 1</formula>
    </cfRule>
  </conditionalFormatting>
  <conditionalFormatting sqref="D5:E37 D50:E96 D113:E115 D116">
    <cfRule type="expression" dxfId="5" priority="4">
      <formula>COUNTIFS($B:$B,$B6,$C:$C,$C16,$D:$D,$D6) &gt; 1</formula>
    </cfRule>
  </conditionalFormatting>
  <conditionalFormatting sqref="D48:E49">
    <cfRule type="expression" dxfId="5" priority="5">
      <formula>COUNTIFS($B:$B,$B50,$C:$C,$C60,$D:$D,$D50) &gt; 1</formula>
    </cfRule>
  </conditionalFormatting>
  <conditionalFormatting sqref="D48:E49">
    <cfRule type="expression" dxfId="5" priority="6">
      <formula>COUNTIFS($B:$B,$B50,$C:$C,$C60,$D:$D,$D50) &gt; 1</formula>
    </cfRule>
  </conditionalFormatting>
  <conditionalFormatting sqref="D38:E47">
    <cfRule type="expression" dxfId="5" priority="7">
      <formula>COUNTIFS($B:$B,$B39,$C:$C,$C50,$D:$D,$D39) &gt; 1</formula>
    </cfRule>
  </conditionalFormatting>
  <conditionalFormatting sqref="D38:E47">
    <cfRule type="expression" dxfId="5" priority="8">
      <formula>COUNTIFS($B:$B,$B39,$C:$C,$C50,$D:$D,$D39) &gt; 1</formula>
    </cfRule>
  </conditionalFormatting>
  <conditionalFormatting sqref="D98:E99">
    <cfRule type="expression" dxfId="5" priority="9">
      <formula>COUNTIFS($B:$B,$B99,$C:$C,$C108,$D:$D,$D99) &gt; 1</formula>
    </cfRule>
  </conditionalFormatting>
  <conditionalFormatting sqref="D98:E99">
    <cfRule type="expression" dxfId="5" priority="10">
      <formula>COUNTIFS($B:$B,$B99,$C:$C,$C108,$D:$D,$D99) &gt; 1</formula>
    </cfRule>
  </conditionalFormatting>
  <conditionalFormatting sqref="D97:E97">
    <cfRule type="expression" dxfId="5" priority="11">
      <formula>COUNTIFS($B:$B,$B98,$C:$C,#REF!,$D:$D,$D98) &gt; 1</formula>
    </cfRule>
  </conditionalFormatting>
  <conditionalFormatting sqref="D97:E97">
    <cfRule type="expression" dxfId="5" priority="12">
      <formula>COUNTIFS($B:$B,$B98,$C:$C,#REF!,$D:$D,$D98) &gt; 1</formula>
    </cfRule>
  </conditionalFormatting>
  <conditionalFormatting sqref="D102:E104">
    <cfRule type="expression" dxfId="5" priority="13">
      <formula>COUNTIFS($B:$B,$B103,$C:$C,$C110,$D:$D,$D103) &gt; 1</formula>
    </cfRule>
  </conditionalFormatting>
  <conditionalFormatting sqref="D102:E104">
    <cfRule type="expression" dxfId="5" priority="14">
      <formula>COUNTIFS($B:$B,$B103,$C:$C,$C110,$D:$D,$D103) &gt; 1</formula>
    </cfRule>
  </conditionalFormatting>
  <conditionalFormatting sqref="D100:E101">
    <cfRule type="expression" dxfId="5" priority="15">
      <formula>COUNTIFS($B:$B,$B101,$C:$C,#REF!,$D:$D,$D101) &gt; 1</formula>
    </cfRule>
  </conditionalFormatting>
  <conditionalFormatting sqref="D100:E101">
    <cfRule type="expression" dxfId="5" priority="16">
      <formula>COUNTIFS($B:$B,$B101,$C:$C,#REF!,$D:$D,$D101) &gt; 1</formula>
    </cfRule>
  </conditionalFormatting>
  <conditionalFormatting sqref="D110:E111">
    <cfRule type="expression" dxfId="5" priority="17">
      <formula>COUNTIFS($B:$B,$B111,$C:$C,$C114,$D:$D,$D111) &gt; 1</formula>
    </cfRule>
  </conditionalFormatting>
  <conditionalFormatting sqref="D110:E111">
    <cfRule type="expression" dxfId="5" priority="18">
      <formula>COUNTIFS($B:$B,$B111,$C:$C,$C114,$D:$D,$D111) &gt; 1</formula>
    </cfRule>
  </conditionalFormatting>
  <conditionalFormatting sqref="D112:E112">
    <cfRule type="expression" dxfId="5" priority="19">
      <formula>COUNTIFS($B:$B,#REF!,$C:$C,$C116,$D:$D,#REF!) &gt; 1</formula>
    </cfRule>
  </conditionalFormatting>
  <conditionalFormatting sqref="D112:E112">
    <cfRule type="expression" dxfId="5" priority="20">
      <formula>COUNTIFS($B:$B,#REF!,$C:$C,$C116,$D:$D,#REF!) &gt; 1</formula>
    </cfRule>
  </conditionalFormatting>
  <conditionalFormatting sqref="D108:E108">
    <cfRule type="expression" dxfId="5" priority="21">
      <formula>COUNTIFS($B:$B,$B109,$C:$C,#REF!,$D:$D,$D109) &gt; 1</formula>
    </cfRule>
  </conditionalFormatting>
  <conditionalFormatting sqref="D108:E108">
    <cfRule type="expression" dxfId="5" priority="22">
      <formula>COUNTIFS($B:$B,$B109,$C:$C,#REF!,$D:$D,$D109) &gt; 1</formula>
    </cfRule>
  </conditionalFormatting>
  <conditionalFormatting sqref="D109:E109">
    <cfRule type="expression" dxfId="5" priority="23">
      <formula>COUNTIFS($B:$B,#REF!,$C:$C,#REF!,$D:$D,#REF!) &gt; 1</formula>
    </cfRule>
  </conditionalFormatting>
  <conditionalFormatting sqref="D109:E109">
    <cfRule type="expression" dxfId="5" priority="24">
      <formula>COUNTIFS($B:$B,#REF!,$C:$C,#REF!,$D:$D,#REF!) &gt; 1</formula>
    </cfRule>
  </conditionalFormatting>
  <conditionalFormatting sqref="D107:E107">
    <cfRule type="expression" dxfId="5" priority="25">
      <formula>COUNTIFS($B:$B,#REF!,$C:$C,#REF!,$D:$D,#REF!) &gt; 1</formula>
    </cfRule>
  </conditionalFormatting>
  <conditionalFormatting sqref="D107:E107">
    <cfRule type="expression" dxfId="5" priority="26">
      <formula>COUNTIFS($B:$B,#REF!,$C:$C,#REF!,$D:$D,#REF!) &gt; 1</formula>
    </cfRule>
  </conditionalFormatting>
  <conditionalFormatting sqref="D105:E106">
    <cfRule type="expression" dxfId="5" priority="27">
      <formula>COUNTIFS($B:$B,$B106,$C:$C,#REF!,$D:$D,$D106) &gt; 1</formula>
    </cfRule>
  </conditionalFormatting>
  <conditionalFormatting sqref="D105:E106">
    <cfRule type="expression" dxfId="5" priority="28">
      <formula>COUNTIFS($B:$B,$B106,$C:$C,#REF!,$D:$D,$D106) &gt; 1</formula>
    </cfRule>
  </conditionalFormatting>
  <conditionalFormatting sqref="C5:C116">
    <cfRule type="expression" dxfId="5" priority="29">
      <formula>COUNTIFS($B:$B,$B6,$C:$C,$C16,$D:$D,$D6) &gt; 1</formula>
    </cfRule>
  </conditionalFormatting>
  <conditionalFormatting sqref="C5:C116">
    <cfRule type="expression" dxfId="5" priority="30">
      <formula>COUNTIFS($B:$B,$B6,$C:$C,$C16,$D:$D,$D6) &gt; 1</formula>
    </cfRule>
  </conditionalFormatting>
  <conditionalFormatting sqref="E113 H1:H466">
    <cfRule type="containsText" dxfId="1" priority="31" operator="containsText" text="Pending">
      <formula>NOT(ISERROR(SEARCH(("Pending"),(E113))))</formula>
    </cfRule>
  </conditionalFormatting>
  <conditionalFormatting sqref="E113 H1:H466">
    <cfRule type="containsText" dxfId="5" priority="32" operator="containsText" text="Done">
      <formula>NOT(ISERROR(SEARCH(("Done"),(E113))))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4.38"/>
    <col customWidth="1" min="3" max="3" width="13.13"/>
    <col customWidth="1" min="4" max="4" width="11.25"/>
    <col customWidth="1" min="5" max="5" width="12.88"/>
    <col customWidth="1" min="6" max="6" width="36.75"/>
    <col customWidth="1" min="7" max="7" width="40.75"/>
    <col customWidth="1" min="8" max="8" width="24.38"/>
    <col customWidth="1" min="9" max="9" width="18.88"/>
    <col customWidth="1" min="10" max="10" width="15.75"/>
    <col customWidth="1" min="11" max="11" width="19.88"/>
    <col customWidth="1" min="12" max="12" width="22.0"/>
    <col customWidth="1" min="13" max="13" width="21.38"/>
    <col customWidth="1" min="14" max="26" width="14.38"/>
  </cols>
  <sheetData>
    <row r="1" ht="13.5" customHeight="1">
      <c r="A1" s="213" t="s">
        <v>673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3.5" customHeight="1">
      <c r="A2" s="214" t="s">
        <v>674</v>
      </c>
      <c r="B2" s="214" t="s">
        <v>218</v>
      </c>
      <c r="C2" s="215" t="s">
        <v>544</v>
      </c>
      <c r="D2" s="214" t="s">
        <v>675</v>
      </c>
      <c r="E2" s="216" t="s">
        <v>676</v>
      </c>
      <c r="F2" s="214" t="s">
        <v>406</v>
      </c>
      <c r="G2" s="214" t="s">
        <v>291</v>
      </c>
      <c r="H2" s="214" t="s">
        <v>677</v>
      </c>
      <c r="I2" s="214" t="s">
        <v>292</v>
      </c>
      <c r="J2" s="214" t="s">
        <v>122</v>
      </c>
      <c r="K2" s="214" t="s">
        <v>678</v>
      </c>
      <c r="L2" s="214" t="s">
        <v>679</v>
      </c>
      <c r="M2" s="214" t="s">
        <v>680</v>
      </c>
    </row>
    <row r="3" ht="13.5" customHeight="1">
      <c r="A3" s="90">
        <v>1.0</v>
      </c>
      <c r="B3" s="166">
        <v>45991.0</v>
      </c>
      <c r="C3" s="92">
        <v>109.0</v>
      </c>
      <c r="D3" s="90" t="s">
        <v>681</v>
      </c>
      <c r="E3" s="90" t="s">
        <v>682</v>
      </c>
      <c r="F3" s="92" t="s">
        <v>683</v>
      </c>
      <c r="G3" s="92" t="s">
        <v>684</v>
      </c>
      <c r="H3" s="90" t="s">
        <v>685</v>
      </c>
      <c r="I3" s="139">
        <v>45993.0</v>
      </c>
      <c r="J3" s="217" t="s">
        <v>69</v>
      </c>
      <c r="K3" s="92" t="s">
        <v>682</v>
      </c>
      <c r="L3" s="79"/>
      <c r="M3" s="79"/>
    </row>
    <row r="4" ht="13.5" customHeight="1">
      <c r="A4" s="90">
        <v>2.0</v>
      </c>
      <c r="B4" s="166">
        <v>45992.0</v>
      </c>
      <c r="C4" s="92">
        <v>125.0</v>
      </c>
      <c r="D4" s="90" t="s">
        <v>681</v>
      </c>
      <c r="E4" s="90" t="s">
        <v>682</v>
      </c>
      <c r="F4" s="93" t="s">
        <v>686</v>
      </c>
      <c r="G4" s="93" t="s">
        <v>687</v>
      </c>
      <c r="H4" s="90" t="s">
        <v>685</v>
      </c>
      <c r="I4" s="139">
        <v>45992.0</v>
      </c>
      <c r="J4" s="217" t="s">
        <v>69</v>
      </c>
      <c r="K4" s="90" t="s">
        <v>682</v>
      </c>
      <c r="L4" s="79"/>
      <c r="M4" s="79"/>
    </row>
    <row r="5" ht="13.5" customHeight="1">
      <c r="A5" s="90">
        <v>3.0</v>
      </c>
      <c r="B5" s="166">
        <v>45998.0</v>
      </c>
      <c r="C5" s="92">
        <v>77.0</v>
      </c>
      <c r="D5" s="90" t="s">
        <v>681</v>
      </c>
      <c r="E5" s="90" t="s">
        <v>688</v>
      </c>
      <c r="F5" s="145" t="s">
        <v>689</v>
      </c>
      <c r="G5" s="145" t="s">
        <v>690</v>
      </c>
      <c r="H5" s="93" t="s">
        <v>691</v>
      </c>
      <c r="I5" s="218">
        <v>46002.0</v>
      </c>
      <c r="J5" s="217" t="s">
        <v>69</v>
      </c>
      <c r="K5" s="145" t="s">
        <v>682</v>
      </c>
      <c r="L5" s="79"/>
      <c r="M5" s="79"/>
    </row>
    <row r="6" ht="13.5" customHeight="1">
      <c r="A6" s="92">
        <v>4.0</v>
      </c>
      <c r="B6" s="166">
        <v>45999.0</v>
      </c>
      <c r="C6" s="92" t="s">
        <v>692</v>
      </c>
      <c r="D6" s="92" t="s">
        <v>693</v>
      </c>
      <c r="E6" s="90" t="s">
        <v>688</v>
      </c>
      <c r="F6" s="145" t="s">
        <v>694</v>
      </c>
      <c r="G6" s="145" t="s">
        <v>695</v>
      </c>
      <c r="H6" s="93" t="s">
        <v>691</v>
      </c>
      <c r="I6" s="218">
        <v>46001.0</v>
      </c>
      <c r="J6" s="217" t="s">
        <v>69</v>
      </c>
      <c r="K6" s="145" t="s">
        <v>682</v>
      </c>
      <c r="L6" s="79"/>
      <c r="M6" s="79"/>
    </row>
    <row r="7" ht="13.5" customHeight="1">
      <c r="A7" s="92">
        <v>5.0</v>
      </c>
      <c r="B7" s="166">
        <v>46000.0</v>
      </c>
      <c r="C7" s="92">
        <v>32.0</v>
      </c>
      <c r="D7" s="90" t="s">
        <v>681</v>
      </c>
      <c r="E7" s="90" t="s">
        <v>682</v>
      </c>
      <c r="F7" s="145" t="s">
        <v>696</v>
      </c>
      <c r="G7" s="145" t="s">
        <v>697</v>
      </c>
      <c r="H7" s="145" t="s">
        <v>698</v>
      </c>
      <c r="I7" s="218">
        <v>46009.0</v>
      </c>
      <c r="J7" s="217" t="s">
        <v>69</v>
      </c>
      <c r="K7" s="145" t="s">
        <v>682</v>
      </c>
      <c r="L7" s="79"/>
      <c r="M7" s="79"/>
    </row>
    <row r="8" ht="13.5" customHeight="1">
      <c r="A8" s="92">
        <v>6.0</v>
      </c>
      <c r="B8" s="166">
        <v>46368.0</v>
      </c>
      <c r="C8" s="92" t="s">
        <v>699</v>
      </c>
      <c r="D8" s="92" t="s">
        <v>693</v>
      </c>
      <c r="E8" s="90" t="s">
        <v>688</v>
      </c>
      <c r="F8" s="145" t="s">
        <v>694</v>
      </c>
      <c r="G8" s="145" t="s">
        <v>695</v>
      </c>
      <c r="H8" s="93" t="s">
        <v>691</v>
      </c>
      <c r="I8" s="218">
        <v>46004.0</v>
      </c>
      <c r="J8" s="217" t="s">
        <v>69</v>
      </c>
      <c r="K8" s="145" t="s">
        <v>682</v>
      </c>
      <c r="L8" s="145"/>
      <c r="M8" s="145"/>
    </row>
    <row r="9" ht="13.5" customHeight="1">
      <c r="A9" s="92">
        <v>7.0</v>
      </c>
      <c r="B9" s="166">
        <v>46004.0</v>
      </c>
      <c r="C9" s="92">
        <v>51.0</v>
      </c>
      <c r="D9" s="90" t="s">
        <v>700</v>
      </c>
      <c r="E9" s="90" t="s">
        <v>682</v>
      </c>
      <c r="F9" s="145" t="s">
        <v>701</v>
      </c>
      <c r="G9" s="145" t="s">
        <v>702</v>
      </c>
      <c r="H9" s="145" t="s">
        <v>698</v>
      </c>
      <c r="I9" s="218">
        <v>46004.0</v>
      </c>
      <c r="J9" s="217" t="s">
        <v>69</v>
      </c>
      <c r="K9" s="145" t="s">
        <v>688</v>
      </c>
      <c r="L9" s="145" t="s">
        <v>703</v>
      </c>
      <c r="M9" s="145" t="s">
        <v>703</v>
      </c>
    </row>
    <row r="10" ht="13.5" customHeight="1">
      <c r="A10" s="92">
        <v>8.0</v>
      </c>
      <c r="B10" s="166">
        <v>46004.0</v>
      </c>
      <c r="C10" s="92">
        <v>120.0</v>
      </c>
      <c r="D10" s="90" t="s">
        <v>681</v>
      </c>
      <c r="E10" s="90" t="s">
        <v>704</v>
      </c>
      <c r="F10" s="145" t="s">
        <v>705</v>
      </c>
      <c r="G10" s="145" t="s">
        <v>706</v>
      </c>
      <c r="H10" s="145" t="s">
        <v>698</v>
      </c>
      <c r="I10" s="218">
        <v>46005.0</v>
      </c>
      <c r="J10" s="217" t="s">
        <v>69</v>
      </c>
      <c r="K10" s="145" t="s">
        <v>682</v>
      </c>
      <c r="L10" s="85"/>
      <c r="M10" s="85"/>
    </row>
    <row r="11" ht="13.5" customHeight="1">
      <c r="A11" s="92">
        <v>9.0</v>
      </c>
      <c r="B11" s="166">
        <v>46010.0</v>
      </c>
      <c r="C11" s="92">
        <v>42.0</v>
      </c>
      <c r="D11" s="90" t="s">
        <v>707</v>
      </c>
      <c r="E11" s="90" t="s">
        <v>704</v>
      </c>
      <c r="F11" s="165" t="s">
        <v>708</v>
      </c>
      <c r="G11" s="145" t="s">
        <v>709</v>
      </c>
      <c r="H11" s="145" t="s">
        <v>685</v>
      </c>
      <c r="I11" s="218">
        <v>46012.0</v>
      </c>
      <c r="J11" s="217" t="s">
        <v>69</v>
      </c>
      <c r="K11" s="145" t="s">
        <v>682</v>
      </c>
      <c r="L11" s="85"/>
      <c r="M11" s="85"/>
    </row>
    <row r="12" ht="13.5" customHeight="1">
      <c r="A12" s="92">
        <v>10.0</v>
      </c>
      <c r="B12" s="166">
        <v>46010.0</v>
      </c>
      <c r="C12" s="92">
        <v>59.0</v>
      </c>
      <c r="D12" s="90" t="s">
        <v>681</v>
      </c>
      <c r="E12" s="90" t="s">
        <v>704</v>
      </c>
      <c r="F12" s="93" t="s">
        <v>686</v>
      </c>
      <c r="G12" s="145" t="s">
        <v>710</v>
      </c>
      <c r="H12" s="145" t="s">
        <v>698</v>
      </c>
      <c r="I12" s="218">
        <v>46010.0</v>
      </c>
      <c r="J12" s="217" t="s">
        <v>69</v>
      </c>
      <c r="K12" s="145" t="s">
        <v>682</v>
      </c>
      <c r="L12" s="79"/>
      <c r="M12" s="79"/>
    </row>
    <row r="13" ht="37.5" customHeight="1">
      <c r="A13" s="92">
        <v>11.0</v>
      </c>
      <c r="B13" s="166">
        <v>46019.0</v>
      </c>
      <c r="C13" s="92">
        <v>122.0</v>
      </c>
      <c r="D13" s="92" t="s">
        <v>700</v>
      </c>
      <c r="E13" s="92" t="s">
        <v>682</v>
      </c>
      <c r="F13" s="92" t="s">
        <v>711</v>
      </c>
      <c r="G13" s="92" t="s">
        <v>702</v>
      </c>
      <c r="H13" s="145" t="s">
        <v>698</v>
      </c>
      <c r="I13" s="144">
        <v>46019.0</v>
      </c>
      <c r="J13" s="217" t="s">
        <v>69</v>
      </c>
      <c r="K13" s="78" t="s">
        <v>688</v>
      </c>
      <c r="L13" s="145" t="s">
        <v>712</v>
      </c>
      <c r="M13" s="145" t="s">
        <v>713</v>
      </c>
    </row>
    <row r="14" ht="13.5" customHeight="1">
      <c r="A14" s="92">
        <v>12.0</v>
      </c>
      <c r="B14" s="166">
        <v>46024.0</v>
      </c>
      <c r="C14" s="78">
        <v>121.0</v>
      </c>
      <c r="D14" s="78" t="s">
        <v>714</v>
      </c>
      <c r="E14" s="78" t="s">
        <v>682</v>
      </c>
      <c r="F14" s="78" t="s">
        <v>715</v>
      </c>
      <c r="G14" s="78" t="s">
        <v>314</v>
      </c>
      <c r="H14" s="78" t="s">
        <v>698</v>
      </c>
      <c r="I14" s="146">
        <v>46024.0</v>
      </c>
      <c r="J14" s="217" t="s">
        <v>69</v>
      </c>
      <c r="K14" s="78" t="s">
        <v>688</v>
      </c>
      <c r="L14" s="78" t="s">
        <v>716</v>
      </c>
      <c r="M14" s="78" t="s">
        <v>717</v>
      </c>
    </row>
    <row r="15" ht="13.5" customHeight="1">
      <c r="A15" s="92">
        <v>13.0</v>
      </c>
      <c r="B15" s="166">
        <v>46026.0</v>
      </c>
      <c r="C15" s="78" t="s">
        <v>718</v>
      </c>
      <c r="D15" s="78" t="s">
        <v>693</v>
      </c>
      <c r="E15" s="78" t="s">
        <v>688</v>
      </c>
      <c r="F15" s="78" t="s">
        <v>719</v>
      </c>
      <c r="G15" s="78" t="s">
        <v>314</v>
      </c>
      <c r="H15" s="78" t="s">
        <v>691</v>
      </c>
      <c r="I15" s="146">
        <v>46026.0</v>
      </c>
      <c r="J15" s="217" t="s">
        <v>69</v>
      </c>
      <c r="K15" s="78" t="s">
        <v>688</v>
      </c>
      <c r="L15" s="79"/>
      <c r="M15" s="79"/>
    </row>
    <row r="16" ht="13.5" customHeight="1">
      <c r="A16" s="92">
        <v>14.0</v>
      </c>
      <c r="B16" s="166">
        <v>46027.0</v>
      </c>
      <c r="C16" s="78">
        <v>49.0</v>
      </c>
      <c r="D16" s="78" t="s">
        <v>714</v>
      </c>
      <c r="E16" s="78" t="s">
        <v>682</v>
      </c>
      <c r="F16" s="78" t="s">
        <v>720</v>
      </c>
      <c r="G16" s="78" t="s">
        <v>721</v>
      </c>
      <c r="H16" s="78" t="s">
        <v>698</v>
      </c>
      <c r="I16" s="146">
        <v>46027.0</v>
      </c>
      <c r="J16" s="217" t="s">
        <v>69</v>
      </c>
      <c r="K16" s="78" t="s">
        <v>682</v>
      </c>
      <c r="L16" s="85"/>
      <c r="M16" s="85"/>
    </row>
    <row r="17" ht="13.5" customHeight="1">
      <c r="A17" s="92">
        <v>15.0</v>
      </c>
      <c r="B17" s="166">
        <v>46030.0</v>
      </c>
      <c r="C17" s="78" t="s">
        <v>722</v>
      </c>
      <c r="D17" s="78" t="s">
        <v>693</v>
      </c>
      <c r="E17" s="78" t="s">
        <v>688</v>
      </c>
      <c r="F17" s="78" t="s">
        <v>723</v>
      </c>
      <c r="G17" s="78" t="s">
        <v>314</v>
      </c>
      <c r="H17" s="78" t="s">
        <v>691</v>
      </c>
      <c r="I17" s="146">
        <v>46030.0</v>
      </c>
      <c r="J17" s="217" t="s">
        <v>69</v>
      </c>
      <c r="K17" s="78" t="s">
        <v>688</v>
      </c>
      <c r="L17" s="79"/>
      <c r="M17" s="79"/>
    </row>
    <row r="18" ht="13.5" customHeight="1">
      <c r="A18" s="92">
        <v>16.0</v>
      </c>
      <c r="B18" s="166">
        <v>46032.0</v>
      </c>
      <c r="C18" s="78" t="s">
        <v>722</v>
      </c>
      <c r="D18" s="78" t="s">
        <v>693</v>
      </c>
      <c r="E18" s="78" t="s">
        <v>688</v>
      </c>
      <c r="F18" s="78" t="s">
        <v>719</v>
      </c>
      <c r="G18" s="78" t="s">
        <v>314</v>
      </c>
      <c r="H18" s="78" t="s">
        <v>691</v>
      </c>
      <c r="I18" s="146">
        <v>46032.0</v>
      </c>
      <c r="J18" s="217" t="s">
        <v>69</v>
      </c>
      <c r="K18" s="78" t="s">
        <v>688</v>
      </c>
      <c r="L18" s="79"/>
      <c r="M18" s="79"/>
    </row>
    <row r="19" ht="13.5" customHeight="1">
      <c r="A19" s="92">
        <v>17.0</v>
      </c>
      <c r="B19" s="166">
        <v>46035.0</v>
      </c>
      <c r="C19" s="78" t="s">
        <v>724</v>
      </c>
      <c r="D19" s="78" t="s">
        <v>693</v>
      </c>
      <c r="E19" s="78" t="s">
        <v>688</v>
      </c>
      <c r="F19" s="78" t="s">
        <v>723</v>
      </c>
      <c r="G19" s="78" t="s">
        <v>314</v>
      </c>
      <c r="H19" s="78" t="s">
        <v>691</v>
      </c>
      <c r="I19" s="146">
        <v>46036.0</v>
      </c>
      <c r="J19" s="217" t="s">
        <v>69</v>
      </c>
      <c r="K19" s="78" t="s">
        <v>688</v>
      </c>
      <c r="L19" s="79"/>
      <c r="M19" s="79"/>
    </row>
    <row r="20" ht="13.5" customHeight="1">
      <c r="A20" s="92">
        <v>18.0</v>
      </c>
      <c r="B20" s="166">
        <v>46037.0</v>
      </c>
      <c r="C20" s="78" t="s">
        <v>725</v>
      </c>
      <c r="D20" s="78" t="s">
        <v>693</v>
      </c>
      <c r="E20" s="78" t="s">
        <v>688</v>
      </c>
      <c r="F20" s="78" t="s">
        <v>726</v>
      </c>
      <c r="G20" s="78" t="s">
        <v>314</v>
      </c>
      <c r="H20" s="78" t="s">
        <v>691</v>
      </c>
      <c r="I20" s="146">
        <v>46037.0</v>
      </c>
      <c r="J20" s="217" t="s">
        <v>69</v>
      </c>
      <c r="K20" s="78" t="s">
        <v>682</v>
      </c>
      <c r="L20" s="79"/>
      <c r="M20" s="79"/>
    </row>
    <row r="21" ht="13.5" customHeight="1">
      <c r="A21" s="92">
        <v>19.0</v>
      </c>
      <c r="B21" s="166">
        <v>46044.0</v>
      </c>
      <c r="C21" s="78" t="s">
        <v>727</v>
      </c>
      <c r="D21" s="78" t="s">
        <v>693</v>
      </c>
      <c r="E21" s="78" t="s">
        <v>688</v>
      </c>
      <c r="F21" s="78" t="s">
        <v>728</v>
      </c>
      <c r="G21" s="78" t="s">
        <v>729</v>
      </c>
      <c r="H21" s="78" t="s">
        <v>691</v>
      </c>
      <c r="I21" s="146">
        <v>46046.0</v>
      </c>
      <c r="J21" s="217" t="s">
        <v>69</v>
      </c>
      <c r="K21" s="78" t="s">
        <v>682</v>
      </c>
      <c r="L21" s="79"/>
      <c r="M21" s="79"/>
    </row>
    <row r="22" ht="13.5" customHeight="1">
      <c r="A22" s="92">
        <v>20.0</v>
      </c>
      <c r="B22" s="166">
        <v>46044.0</v>
      </c>
      <c r="C22" s="78" t="s">
        <v>730</v>
      </c>
      <c r="D22" s="78" t="s">
        <v>693</v>
      </c>
      <c r="E22" s="78" t="s">
        <v>688</v>
      </c>
      <c r="F22" s="78" t="s">
        <v>731</v>
      </c>
      <c r="G22" s="78" t="s">
        <v>729</v>
      </c>
      <c r="H22" s="78" t="s">
        <v>691</v>
      </c>
      <c r="I22" s="146">
        <v>46047.0</v>
      </c>
      <c r="J22" s="217" t="s">
        <v>69</v>
      </c>
      <c r="K22" s="78" t="s">
        <v>682</v>
      </c>
      <c r="L22" s="79"/>
      <c r="M22" s="79"/>
    </row>
    <row r="23" ht="13.5" customHeight="1">
      <c r="A23" s="92">
        <v>21.0</v>
      </c>
      <c r="B23" s="166">
        <v>46045.0</v>
      </c>
      <c r="C23" s="78">
        <v>9.0</v>
      </c>
      <c r="D23" s="78" t="s">
        <v>693</v>
      </c>
      <c r="E23" s="78" t="s">
        <v>682</v>
      </c>
      <c r="F23" s="78" t="s">
        <v>732</v>
      </c>
      <c r="G23" s="78" t="s">
        <v>733</v>
      </c>
      <c r="H23" s="78" t="s">
        <v>691</v>
      </c>
      <c r="I23" s="146">
        <v>46045.0</v>
      </c>
      <c r="J23" s="217" t="s">
        <v>69</v>
      </c>
      <c r="K23" s="78" t="s">
        <v>682</v>
      </c>
      <c r="L23" s="79"/>
      <c r="M23" s="79"/>
    </row>
    <row r="24" ht="13.5" customHeight="1">
      <c r="A24" s="92">
        <v>22.0</v>
      </c>
      <c r="B24" s="166">
        <v>46046.0</v>
      </c>
      <c r="C24" s="78" t="s">
        <v>734</v>
      </c>
      <c r="D24" s="78" t="s">
        <v>693</v>
      </c>
      <c r="E24" s="78" t="s">
        <v>688</v>
      </c>
      <c r="F24" s="78" t="s">
        <v>735</v>
      </c>
      <c r="G24" s="78" t="s">
        <v>729</v>
      </c>
      <c r="H24" s="78" t="s">
        <v>691</v>
      </c>
      <c r="I24" s="146">
        <v>46047.0</v>
      </c>
      <c r="J24" s="219" t="s">
        <v>69</v>
      </c>
      <c r="K24" s="220" t="s">
        <v>682</v>
      </c>
      <c r="L24" s="221"/>
      <c r="M24" s="221"/>
    </row>
    <row r="25" ht="13.5" customHeight="1">
      <c r="A25" s="92">
        <v>23.0</v>
      </c>
      <c r="B25" s="166">
        <v>46046.0</v>
      </c>
      <c r="C25" s="78" t="s">
        <v>736</v>
      </c>
      <c r="D25" s="78" t="s">
        <v>693</v>
      </c>
      <c r="E25" s="78" t="s">
        <v>688</v>
      </c>
      <c r="F25" s="78" t="s">
        <v>737</v>
      </c>
      <c r="G25" s="78" t="s">
        <v>729</v>
      </c>
      <c r="H25" s="78" t="s">
        <v>691</v>
      </c>
      <c r="I25" s="222">
        <v>46047.0</v>
      </c>
      <c r="J25" s="217" t="s">
        <v>69</v>
      </c>
      <c r="K25" s="78" t="s">
        <v>682</v>
      </c>
      <c r="L25" s="79"/>
      <c r="M25" s="79"/>
    </row>
    <row r="26" ht="13.5" customHeight="1">
      <c r="A26" s="92">
        <v>24.0</v>
      </c>
      <c r="B26" s="166">
        <v>46050.0</v>
      </c>
      <c r="C26" s="78" t="s">
        <v>738</v>
      </c>
      <c r="D26" s="78" t="s">
        <v>693</v>
      </c>
      <c r="E26" s="78" t="s">
        <v>688</v>
      </c>
      <c r="F26" s="78" t="s">
        <v>739</v>
      </c>
      <c r="G26" s="78" t="s">
        <v>729</v>
      </c>
      <c r="H26" s="78" t="s">
        <v>691</v>
      </c>
      <c r="I26" s="222">
        <v>46051.0</v>
      </c>
      <c r="J26" s="217" t="s">
        <v>69</v>
      </c>
      <c r="K26" s="78" t="s">
        <v>682</v>
      </c>
      <c r="L26" s="79"/>
      <c r="M26" s="79"/>
    </row>
    <row r="27" ht="13.5" customHeight="1">
      <c r="A27" s="92">
        <v>25.0</v>
      </c>
      <c r="B27" s="166">
        <v>46051.0</v>
      </c>
      <c r="C27" s="78" t="s">
        <v>727</v>
      </c>
      <c r="D27" s="78" t="s">
        <v>693</v>
      </c>
      <c r="E27" s="78" t="s">
        <v>688</v>
      </c>
      <c r="F27" s="78" t="s">
        <v>740</v>
      </c>
      <c r="G27" s="78" t="s">
        <v>729</v>
      </c>
      <c r="H27" s="78" t="s">
        <v>691</v>
      </c>
      <c r="I27" s="222">
        <v>46051.0</v>
      </c>
      <c r="J27" s="217" t="s">
        <v>69</v>
      </c>
      <c r="K27" s="78" t="s">
        <v>682</v>
      </c>
      <c r="L27" s="79"/>
      <c r="M27" s="79"/>
    </row>
    <row r="28" ht="13.5" customHeight="1">
      <c r="A28" s="92">
        <v>26.0</v>
      </c>
      <c r="B28" s="166">
        <v>46051.0</v>
      </c>
      <c r="C28" s="78" t="s">
        <v>741</v>
      </c>
      <c r="D28" s="78" t="s">
        <v>693</v>
      </c>
      <c r="E28" s="78" t="s">
        <v>688</v>
      </c>
      <c r="F28" s="78" t="s">
        <v>742</v>
      </c>
      <c r="G28" s="78" t="s">
        <v>729</v>
      </c>
      <c r="H28" s="78" t="s">
        <v>691</v>
      </c>
      <c r="I28" s="222">
        <v>46051.0</v>
      </c>
      <c r="J28" s="217" t="s">
        <v>69</v>
      </c>
      <c r="K28" s="78" t="s">
        <v>682</v>
      </c>
      <c r="L28" s="79"/>
      <c r="M28" s="79"/>
    </row>
    <row r="29" ht="13.5" customHeight="1">
      <c r="A29" s="92">
        <v>27.0</v>
      </c>
      <c r="B29" s="166">
        <v>46053.0</v>
      </c>
      <c r="C29" s="78" t="s">
        <v>743</v>
      </c>
      <c r="D29" s="78" t="s">
        <v>693</v>
      </c>
      <c r="E29" s="78" t="s">
        <v>682</v>
      </c>
      <c r="F29" s="78" t="s">
        <v>742</v>
      </c>
      <c r="G29" s="78" t="s">
        <v>729</v>
      </c>
      <c r="H29" s="78" t="s">
        <v>691</v>
      </c>
      <c r="I29" s="222">
        <v>46053.0</v>
      </c>
      <c r="J29" s="217" t="s">
        <v>69</v>
      </c>
      <c r="K29" s="78" t="s">
        <v>682</v>
      </c>
      <c r="L29" s="79"/>
      <c r="M29" s="79"/>
    </row>
    <row r="30" ht="13.5" customHeight="1">
      <c r="A30" s="92">
        <v>28.0</v>
      </c>
      <c r="B30" s="166">
        <v>46053.0</v>
      </c>
      <c r="C30" s="78" t="s">
        <v>744</v>
      </c>
      <c r="D30" s="78" t="s">
        <v>693</v>
      </c>
      <c r="E30" s="78" t="s">
        <v>688</v>
      </c>
      <c r="F30" s="78" t="s">
        <v>745</v>
      </c>
      <c r="G30" s="78" t="s">
        <v>729</v>
      </c>
      <c r="H30" s="78" t="s">
        <v>691</v>
      </c>
      <c r="I30" s="146">
        <v>46053.0</v>
      </c>
      <c r="J30" s="217" t="s">
        <v>69</v>
      </c>
      <c r="K30" s="78" t="s">
        <v>682</v>
      </c>
      <c r="L30" s="85"/>
      <c r="M30" s="85"/>
    </row>
    <row r="31" ht="13.5" customHeight="1">
      <c r="A31" s="78">
        <v>29.0</v>
      </c>
      <c r="B31" s="166">
        <v>46054.0</v>
      </c>
      <c r="C31" s="78" t="s">
        <v>736</v>
      </c>
      <c r="D31" s="78" t="s">
        <v>693</v>
      </c>
      <c r="E31" s="78" t="s">
        <v>688</v>
      </c>
      <c r="F31" s="78" t="s">
        <v>746</v>
      </c>
      <c r="G31" s="78" t="s">
        <v>729</v>
      </c>
      <c r="H31" s="78" t="s">
        <v>691</v>
      </c>
      <c r="I31" s="146">
        <v>46056.0</v>
      </c>
      <c r="J31" s="217" t="s">
        <v>69</v>
      </c>
      <c r="K31" s="78" t="s">
        <v>682</v>
      </c>
      <c r="L31" s="78"/>
      <c r="M31" s="78"/>
    </row>
    <row r="32" ht="13.5" customHeight="1">
      <c r="A32" s="78">
        <v>30.0</v>
      </c>
      <c r="B32" s="166">
        <v>46055.0</v>
      </c>
      <c r="C32" s="78" t="s">
        <v>727</v>
      </c>
      <c r="D32" s="78" t="s">
        <v>693</v>
      </c>
      <c r="E32" s="78" t="s">
        <v>688</v>
      </c>
      <c r="F32" s="78" t="s">
        <v>747</v>
      </c>
      <c r="G32" s="78" t="s">
        <v>729</v>
      </c>
      <c r="H32" s="78" t="s">
        <v>691</v>
      </c>
      <c r="I32" s="146">
        <v>46056.0</v>
      </c>
      <c r="J32" s="217" t="s">
        <v>69</v>
      </c>
      <c r="K32" s="78" t="s">
        <v>682</v>
      </c>
      <c r="L32" s="78"/>
      <c r="M32" s="78"/>
    </row>
    <row r="33" ht="13.5" customHeight="1">
      <c r="A33" s="78">
        <v>31.0</v>
      </c>
      <c r="B33" s="166">
        <v>46055.0</v>
      </c>
      <c r="C33" s="78" t="s">
        <v>748</v>
      </c>
      <c r="D33" s="78" t="s">
        <v>693</v>
      </c>
      <c r="E33" s="78" t="s">
        <v>688</v>
      </c>
      <c r="F33" s="78" t="s">
        <v>747</v>
      </c>
      <c r="G33" s="78" t="s">
        <v>729</v>
      </c>
      <c r="H33" s="78" t="s">
        <v>691</v>
      </c>
      <c r="I33" s="146">
        <v>46056.0</v>
      </c>
      <c r="J33" s="217" t="s">
        <v>69</v>
      </c>
      <c r="K33" s="78" t="s">
        <v>682</v>
      </c>
      <c r="L33" s="78"/>
      <c r="M33" s="78"/>
    </row>
    <row r="34" ht="13.5" customHeight="1">
      <c r="A34" s="78">
        <v>32.0</v>
      </c>
      <c r="B34" s="166">
        <v>46056.0</v>
      </c>
      <c r="C34" s="78" t="s">
        <v>749</v>
      </c>
      <c r="D34" s="78" t="s">
        <v>693</v>
      </c>
      <c r="E34" s="78" t="s">
        <v>688</v>
      </c>
      <c r="F34" s="78" t="s">
        <v>739</v>
      </c>
      <c r="G34" s="78" t="s">
        <v>729</v>
      </c>
      <c r="H34" s="78" t="s">
        <v>691</v>
      </c>
      <c r="I34" s="146">
        <v>46057.0</v>
      </c>
      <c r="J34" s="217" t="s">
        <v>69</v>
      </c>
      <c r="K34" s="78" t="s">
        <v>682</v>
      </c>
      <c r="L34" s="78"/>
      <c r="M34" s="78"/>
    </row>
    <row r="35" ht="13.5" customHeight="1">
      <c r="A35" s="78">
        <v>33.0</v>
      </c>
      <c r="B35" s="166">
        <v>46056.0</v>
      </c>
      <c r="C35" s="78" t="s">
        <v>750</v>
      </c>
      <c r="D35" s="78" t="s">
        <v>693</v>
      </c>
      <c r="E35" s="78" t="s">
        <v>688</v>
      </c>
      <c r="F35" s="78" t="s">
        <v>751</v>
      </c>
      <c r="G35" s="78" t="s">
        <v>729</v>
      </c>
      <c r="H35" s="78" t="s">
        <v>691</v>
      </c>
      <c r="I35" s="146">
        <v>46057.0</v>
      </c>
      <c r="J35" s="217" t="s">
        <v>69</v>
      </c>
      <c r="K35" s="78" t="s">
        <v>682</v>
      </c>
      <c r="L35" s="78"/>
      <c r="M35" s="78"/>
    </row>
    <row r="36" ht="13.5" customHeight="1">
      <c r="A36" s="78">
        <v>34.0</v>
      </c>
      <c r="B36" s="166">
        <v>46056.0</v>
      </c>
      <c r="C36" s="78" t="s">
        <v>752</v>
      </c>
      <c r="D36" s="78" t="s">
        <v>693</v>
      </c>
      <c r="E36" s="78" t="s">
        <v>682</v>
      </c>
      <c r="F36" s="78" t="s">
        <v>739</v>
      </c>
      <c r="G36" s="78" t="s">
        <v>729</v>
      </c>
      <c r="H36" s="78" t="s">
        <v>691</v>
      </c>
      <c r="I36" s="146">
        <v>46057.0</v>
      </c>
      <c r="J36" s="217" t="s">
        <v>69</v>
      </c>
      <c r="K36" s="78" t="s">
        <v>682</v>
      </c>
      <c r="L36" s="78"/>
      <c r="M36" s="78"/>
    </row>
    <row r="37" ht="13.5" customHeight="1">
      <c r="A37" s="78">
        <v>35.0</v>
      </c>
      <c r="B37" s="166">
        <v>46057.0</v>
      </c>
      <c r="C37" s="78" t="s">
        <v>753</v>
      </c>
      <c r="D37" s="78" t="s">
        <v>693</v>
      </c>
      <c r="E37" s="78" t="s">
        <v>688</v>
      </c>
      <c r="F37" s="78" t="s">
        <v>754</v>
      </c>
      <c r="G37" s="78" t="s">
        <v>729</v>
      </c>
      <c r="H37" s="78" t="s">
        <v>691</v>
      </c>
      <c r="I37" s="146">
        <v>46058.0</v>
      </c>
      <c r="J37" s="217" t="s">
        <v>69</v>
      </c>
      <c r="K37" s="78" t="s">
        <v>682</v>
      </c>
      <c r="L37" s="78"/>
      <c r="M37" s="78"/>
    </row>
    <row r="38" ht="13.5" customHeight="1">
      <c r="A38" s="78">
        <v>36.0</v>
      </c>
      <c r="B38" s="166">
        <v>46057.0</v>
      </c>
      <c r="C38" s="78" t="s">
        <v>755</v>
      </c>
      <c r="D38" s="78" t="s">
        <v>693</v>
      </c>
      <c r="E38" s="78" t="s">
        <v>688</v>
      </c>
      <c r="F38" s="78" t="s">
        <v>756</v>
      </c>
      <c r="G38" s="78" t="s">
        <v>729</v>
      </c>
      <c r="H38" s="78" t="s">
        <v>691</v>
      </c>
      <c r="I38" s="146">
        <v>46059.0</v>
      </c>
      <c r="J38" s="217" t="s">
        <v>69</v>
      </c>
      <c r="K38" s="78" t="s">
        <v>682</v>
      </c>
      <c r="L38" s="78"/>
      <c r="M38" s="78"/>
    </row>
    <row r="39" ht="13.5" customHeight="1">
      <c r="A39" s="78">
        <v>37.0</v>
      </c>
      <c r="B39" s="166">
        <v>46057.0</v>
      </c>
      <c r="C39" s="78" t="s">
        <v>757</v>
      </c>
      <c r="D39" s="78" t="s">
        <v>693</v>
      </c>
      <c r="E39" s="78" t="s">
        <v>688</v>
      </c>
      <c r="F39" s="78" t="s">
        <v>739</v>
      </c>
      <c r="G39" s="78" t="s">
        <v>729</v>
      </c>
      <c r="H39" s="78" t="s">
        <v>691</v>
      </c>
      <c r="I39" s="146">
        <v>46059.0</v>
      </c>
      <c r="J39" s="217" t="s">
        <v>69</v>
      </c>
      <c r="K39" s="78" t="s">
        <v>682</v>
      </c>
      <c r="L39" s="78"/>
      <c r="M39" s="78"/>
    </row>
    <row r="40" ht="13.5" customHeight="1">
      <c r="A40" s="78">
        <v>38.0</v>
      </c>
      <c r="B40" s="166">
        <v>46057.0</v>
      </c>
      <c r="C40" s="78" t="s">
        <v>758</v>
      </c>
      <c r="D40" s="78" t="s">
        <v>693</v>
      </c>
      <c r="E40" s="78" t="s">
        <v>688</v>
      </c>
      <c r="F40" s="78" t="s">
        <v>759</v>
      </c>
      <c r="G40" s="78" t="s">
        <v>729</v>
      </c>
      <c r="H40" s="78" t="s">
        <v>691</v>
      </c>
      <c r="I40" s="146">
        <v>46059.0</v>
      </c>
      <c r="J40" s="217" t="s">
        <v>69</v>
      </c>
      <c r="K40" s="78" t="s">
        <v>682</v>
      </c>
      <c r="L40" s="78"/>
      <c r="M40" s="78"/>
    </row>
    <row r="41" ht="13.5" customHeight="1">
      <c r="A41" s="78">
        <v>39.0</v>
      </c>
      <c r="B41" s="166">
        <v>46058.0</v>
      </c>
      <c r="C41" s="78" t="s">
        <v>760</v>
      </c>
      <c r="D41" s="78" t="s">
        <v>693</v>
      </c>
      <c r="E41" s="78" t="s">
        <v>688</v>
      </c>
      <c r="F41" s="78" t="s">
        <v>761</v>
      </c>
      <c r="G41" s="78" t="s">
        <v>729</v>
      </c>
      <c r="H41" s="78" t="s">
        <v>691</v>
      </c>
      <c r="I41" s="146">
        <v>46059.0</v>
      </c>
      <c r="J41" s="217" t="s">
        <v>69</v>
      </c>
      <c r="K41" s="78" t="s">
        <v>682</v>
      </c>
      <c r="L41" s="78"/>
      <c r="M41" s="78"/>
    </row>
    <row r="42" ht="13.5" customHeight="1">
      <c r="A42" s="78">
        <v>40.0</v>
      </c>
      <c r="B42" s="166">
        <v>46060.0</v>
      </c>
      <c r="C42" s="78" t="s">
        <v>762</v>
      </c>
      <c r="D42" s="78" t="s">
        <v>693</v>
      </c>
      <c r="E42" s="78" t="s">
        <v>688</v>
      </c>
      <c r="F42" s="78" t="s">
        <v>763</v>
      </c>
      <c r="G42" s="78" t="s">
        <v>729</v>
      </c>
      <c r="H42" s="78" t="s">
        <v>691</v>
      </c>
      <c r="I42" s="146">
        <v>46061.0</v>
      </c>
      <c r="J42" s="217" t="s">
        <v>69</v>
      </c>
      <c r="K42" s="78" t="s">
        <v>682</v>
      </c>
      <c r="L42" s="78"/>
      <c r="M42" s="78"/>
    </row>
    <row r="43" ht="13.5" customHeight="1">
      <c r="A43" s="78">
        <v>41.0</v>
      </c>
      <c r="B43" s="166">
        <v>46060.0</v>
      </c>
      <c r="C43" s="78" t="s">
        <v>764</v>
      </c>
      <c r="D43" s="78" t="s">
        <v>693</v>
      </c>
      <c r="E43" s="78" t="s">
        <v>688</v>
      </c>
      <c r="F43" s="78" t="s">
        <v>765</v>
      </c>
      <c r="G43" s="78" t="s">
        <v>729</v>
      </c>
      <c r="H43" s="78" t="s">
        <v>691</v>
      </c>
      <c r="I43" s="146">
        <v>46061.0</v>
      </c>
      <c r="J43" s="217" t="s">
        <v>69</v>
      </c>
      <c r="K43" s="78" t="s">
        <v>682</v>
      </c>
      <c r="L43" s="78"/>
      <c r="M43" s="78"/>
    </row>
    <row r="44" ht="13.5" customHeight="1">
      <c r="A44" s="78">
        <v>42.0</v>
      </c>
      <c r="B44" s="166">
        <v>46063.0</v>
      </c>
      <c r="C44" s="78" t="s">
        <v>766</v>
      </c>
      <c r="D44" s="78" t="s">
        <v>767</v>
      </c>
      <c r="E44" s="78" t="s">
        <v>688</v>
      </c>
      <c r="F44" s="78" t="s">
        <v>768</v>
      </c>
      <c r="G44" s="78" t="s">
        <v>769</v>
      </c>
      <c r="H44" s="78" t="s">
        <v>691</v>
      </c>
      <c r="I44" s="166">
        <v>46064.0</v>
      </c>
      <c r="J44" s="217" t="s">
        <v>69</v>
      </c>
      <c r="K44" s="78" t="s">
        <v>688</v>
      </c>
      <c r="L44" s="78" t="s">
        <v>770</v>
      </c>
      <c r="M44" s="78" t="s">
        <v>771</v>
      </c>
    </row>
    <row r="45" ht="13.5" customHeight="1">
      <c r="A45" s="78">
        <v>43.0</v>
      </c>
      <c r="B45" s="166">
        <v>46063.0</v>
      </c>
      <c r="C45" s="78" t="s">
        <v>772</v>
      </c>
      <c r="D45" s="78" t="s">
        <v>693</v>
      </c>
      <c r="E45" s="78" t="s">
        <v>688</v>
      </c>
      <c r="F45" s="78" t="s">
        <v>742</v>
      </c>
      <c r="G45" s="78" t="s">
        <v>729</v>
      </c>
      <c r="H45" s="78" t="s">
        <v>691</v>
      </c>
      <c r="I45" s="166">
        <v>46064.0</v>
      </c>
      <c r="J45" s="217" t="s">
        <v>69</v>
      </c>
      <c r="K45" s="78" t="s">
        <v>682</v>
      </c>
      <c r="L45" s="78"/>
      <c r="M45" s="78"/>
    </row>
    <row r="46" ht="13.5" customHeight="1">
      <c r="A46" s="78">
        <v>44.0</v>
      </c>
      <c r="B46" s="166">
        <v>46063.0</v>
      </c>
      <c r="C46" s="78" t="s">
        <v>773</v>
      </c>
      <c r="D46" s="78" t="s">
        <v>693</v>
      </c>
      <c r="E46" s="78" t="s">
        <v>688</v>
      </c>
      <c r="F46" s="78" t="s">
        <v>765</v>
      </c>
      <c r="G46" s="78" t="s">
        <v>729</v>
      </c>
      <c r="H46" s="78" t="s">
        <v>691</v>
      </c>
      <c r="I46" s="166">
        <v>46064.0</v>
      </c>
      <c r="J46" s="217" t="s">
        <v>69</v>
      </c>
      <c r="K46" s="78" t="s">
        <v>682</v>
      </c>
      <c r="L46" s="78"/>
      <c r="M46" s="78"/>
    </row>
    <row r="47" ht="13.5" customHeight="1">
      <c r="A47" s="78">
        <v>45.0</v>
      </c>
      <c r="B47" s="166">
        <v>46065.0</v>
      </c>
      <c r="C47" s="78" t="s">
        <v>774</v>
      </c>
      <c r="D47" s="78" t="s">
        <v>693</v>
      </c>
      <c r="E47" s="78" t="s">
        <v>688</v>
      </c>
      <c r="F47" s="78" t="s">
        <v>742</v>
      </c>
      <c r="G47" s="78" t="s">
        <v>729</v>
      </c>
      <c r="H47" s="78" t="s">
        <v>691</v>
      </c>
      <c r="I47" s="166">
        <v>46066.0</v>
      </c>
      <c r="J47" s="217" t="s">
        <v>69</v>
      </c>
      <c r="K47" s="78" t="s">
        <v>682</v>
      </c>
      <c r="L47" s="78"/>
      <c r="M47" s="78"/>
    </row>
    <row r="48" ht="13.5" customHeight="1">
      <c r="A48" s="78">
        <v>46.0</v>
      </c>
      <c r="B48" s="166">
        <v>46066.0</v>
      </c>
      <c r="C48" s="78" t="s">
        <v>774</v>
      </c>
      <c r="D48" s="78" t="s">
        <v>693</v>
      </c>
      <c r="E48" s="78" t="s">
        <v>688</v>
      </c>
      <c r="F48" s="78" t="s">
        <v>775</v>
      </c>
      <c r="G48" s="78" t="s">
        <v>729</v>
      </c>
      <c r="H48" s="78" t="s">
        <v>691</v>
      </c>
      <c r="I48" s="166">
        <v>46067.0</v>
      </c>
      <c r="J48" s="217" t="s">
        <v>69</v>
      </c>
      <c r="K48" s="78" t="s">
        <v>682</v>
      </c>
      <c r="L48" s="78"/>
      <c r="M48" s="78"/>
    </row>
    <row r="49" ht="13.5" customHeight="1">
      <c r="A49" s="78">
        <v>47.0</v>
      </c>
      <c r="B49" s="166">
        <v>46066.0</v>
      </c>
      <c r="C49" s="78" t="s">
        <v>773</v>
      </c>
      <c r="D49" s="78" t="s">
        <v>693</v>
      </c>
      <c r="E49" s="78" t="s">
        <v>688</v>
      </c>
      <c r="F49" s="78" t="s">
        <v>776</v>
      </c>
      <c r="G49" s="78" t="s">
        <v>729</v>
      </c>
      <c r="H49" s="78" t="s">
        <v>691</v>
      </c>
      <c r="I49" s="166">
        <v>46067.0</v>
      </c>
      <c r="J49" s="217" t="s">
        <v>69</v>
      </c>
      <c r="K49" s="78" t="s">
        <v>682</v>
      </c>
      <c r="L49" s="78"/>
      <c r="M49" s="78"/>
    </row>
    <row r="50" ht="13.5" customHeight="1">
      <c r="A50" s="78">
        <v>48.0</v>
      </c>
      <c r="B50" s="166">
        <v>46066.0</v>
      </c>
      <c r="C50" s="78" t="s">
        <v>777</v>
      </c>
      <c r="D50" s="78" t="s">
        <v>693</v>
      </c>
      <c r="E50" s="78" t="s">
        <v>688</v>
      </c>
      <c r="F50" s="78" t="s">
        <v>763</v>
      </c>
      <c r="G50" s="78" t="s">
        <v>729</v>
      </c>
      <c r="H50" s="78" t="s">
        <v>691</v>
      </c>
      <c r="I50" s="166">
        <v>46067.0</v>
      </c>
      <c r="J50" s="217" t="s">
        <v>69</v>
      </c>
      <c r="K50" s="78" t="s">
        <v>682</v>
      </c>
      <c r="L50" s="78"/>
      <c r="M50" s="78"/>
    </row>
    <row r="51" ht="13.5" customHeight="1">
      <c r="A51" s="78">
        <v>49.0</v>
      </c>
      <c r="B51" s="166">
        <v>46067.0</v>
      </c>
      <c r="C51" s="78" t="s">
        <v>778</v>
      </c>
      <c r="D51" s="78" t="s">
        <v>693</v>
      </c>
      <c r="E51" s="78" t="s">
        <v>688</v>
      </c>
      <c r="F51" s="78" t="s">
        <v>779</v>
      </c>
      <c r="G51" s="78" t="s">
        <v>729</v>
      </c>
      <c r="H51" s="78" t="s">
        <v>691</v>
      </c>
      <c r="I51" s="166">
        <v>46068.0</v>
      </c>
      <c r="J51" s="217" t="s">
        <v>69</v>
      </c>
      <c r="K51" s="78" t="s">
        <v>682</v>
      </c>
      <c r="L51" s="78"/>
      <c r="M51" s="78"/>
    </row>
    <row r="52" ht="13.5" customHeight="1">
      <c r="A52" s="78">
        <v>50.0</v>
      </c>
      <c r="B52" s="166">
        <v>46067.0</v>
      </c>
      <c r="C52" s="78" t="s">
        <v>780</v>
      </c>
      <c r="D52" s="78" t="s">
        <v>693</v>
      </c>
      <c r="E52" s="78" t="s">
        <v>688</v>
      </c>
      <c r="F52" s="78" t="s">
        <v>781</v>
      </c>
      <c r="G52" s="78" t="s">
        <v>729</v>
      </c>
      <c r="H52" s="78" t="s">
        <v>691</v>
      </c>
      <c r="I52" s="166">
        <v>46068.0</v>
      </c>
      <c r="J52" s="217" t="s">
        <v>69</v>
      </c>
      <c r="K52" s="78" t="s">
        <v>682</v>
      </c>
      <c r="L52" s="78"/>
      <c r="M52" s="78"/>
    </row>
    <row r="53" ht="13.5" customHeight="1">
      <c r="A53" s="78">
        <v>51.0</v>
      </c>
      <c r="B53" s="166">
        <v>46067.0</v>
      </c>
      <c r="C53" s="78" t="s">
        <v>782</v>
      </c>
      <c r="D53" s="78" t="s">
        <v>693</v>
      </c>
      <c r="E53" s="78" t="s">
        <v>688</v>
      </c>
      <c r="F53" s="78" t="s">
        <v>783</v>
      </c>
      <c r="G53" s="78" t="s">
        <v>729</v>
      </c>
      <c r="H53" s="78" t="s">
        <v>691</v>
      </c>
      <c r="I53" s="166">
        <v>46069.0</v>
      </c>
      <c r="J53" s="217" t="s">
        <v>69</v>
      </c>
      <c r="K53" s="78" t="s">
        <v>682</v>
      </c>
      <c r="L53" s="78"/>
      <c r="M53" s="78"/>
    </row>
    <row r="54" ht="13.5" customHeight="1">
      <c r="A54" s="78">
        <v>52.0</v>
      </c>
      <c r="B54" s="166">
        <v>46067.0</v>
      </c>
      <c r="C54" s="78" t="s">
        <v>784</v>
      </c>
      <c r="D54" s="78" t="s">
        <v>693</v>
      </c>
      <c r="E54" s="78" t="s">
        <v>688</v>
      </c>
      <c r="F54" s="78" t="s">
        <v>775</v>
      </c>
      <c r="G54" s="78" t="s">
        <v>729</v>
      </c>
      <c r="H54" s="78" t="s">
        <v>691</v>
      </c>
      <c r="I54" s="166">
        <v>46068.0</v>
      </c>
      <c r="J54" s="217" t="s">
        <v>69</v>
      </c>
      <c r="K54" s="78" t="s">
        <v>682</v>
      </c>
      <c r="L54" s="78"/>
      <c r="M54" s="78"/>
    </row>
    <row r="55" ht="13.5" customHeight="1">
      <c r="A55" s="78">
        <v>53.0</v>
      </c>
      <c r="B55" s="166">
        <v>46068.0</v>
      </c>
      <c r="C55" s="78" t="s">
        <v>785</v>
      </c>
      <c r="D55" s="78" t="s">
        <v>693</v>
      </c>
      <c r="E55" s="78" t="s">
        <v>688</v>
      </c>
      <c r="F55" s="78" t="s">
        <v>786</v>
      </c>
      <c r="G55" s="78" t="s">
        <v>729</v>
      </c>
      <c r="H55" s="78" t="s">
        <v>691</v>
      </c>
      <c r="I55" s="166">
        <v>46069.0</v>
      </c>
      <c r="J55" s="217" t="s">
        <v>69</v>
      </c>
      <c r="K55" s="78" t="s">
        <v>682</v>
      </c>
      <c r="L55" s="78"/>
      <c r="M55" s="78"/>
    </row>
    <row r="56" ht="13.5" customHeight="1">
      <c r="A56" s="78">
        <v>54.0</v>
      </c>
      <c r="B56" s="166">
        <v>46068.0</v>
      </c>
      <c r="C56" s="78" t="s">
        <v>787</v>
      </c>
      <c r="D56" s="78" t="s">
        <v>693</v>
      </c>
      <c r="E56" s="78" t="s">
        <v>688</v>
      </c>
      <c r="F56" s="78" t="s">
        <v>775</v>
      </c>
      <c r="G56" s="78" t="s">
        <v>729</v>
      </c>
      <c r="H56" s="78" t="s">
        <v>691</v>
      </c>
      <c r="I56" s="166">
        <v>46071.0</v>
      </c>
      <c r="J56" s="217" t="s">
        <v>69</v>
      </c>
      <c r="K56" s="78" t="s">
        <v>682</v>
      </c>
      <c r="L56" s="78"/>
      <c r="M56" s="78"/>
    </row>
    <row r="57" ht="13.5" customHeight="1">
      <c r="A57" s="78">
        <v>55.0</v>
      </c>
      <c r="B57" s="166">
        <v>46070.0</v>
      </c>
      <c r="C57" s="78" t="s">
        <v>788</v>
      </c>
      <c r="D57" s="78" t="s">
        <v>693</v>
      </c>
      <c r="E57" s="78" t="s">
        <v>688</v>
      </c>
      <c r="F57" s="78" t="s">
        <v>789</v>
      </c>
      <c r="G57" s="78" t="s">
        <v>729</v>
      </c>
      <c r="H57" s="78" t="s">
        <v>691</v>
      </c>
      <c r="I57" s="166">
        <v>46071.0</v>
      </c>
      <c r="J57" s="217" t="s">
        <v>69</v>
      </c>
      <c r="K57" s="78" t="s">
        <v>682</v>
      </c>
      <c r="L57" s="78"/>
      <c r="M57" s="78"/>
    </row>
    <row r="58" ht="13.5" customHeight="1">
      <c r="A58" s="78">
        <v>56.0</v>
      </c>
      <c r="B58" s="166">
        <v>46070.0</v>
      </c>
      <c r="C58" s="78" t="s">
        <v>790</v>
      </c>
      <c r="D58" s="78" t="s">
        <v>693</v>
      </c>
      <c r="E58" s="78" t="s">
        <v>688</v>
      </c>
      <c r="F58" s="78" t="s">
        <v>791</v>
      </c>
      <c r="G58" s="78" t="s">
        <v>729</v>
      </c>
      <c r="H58" s="78" t="s">
        <v>691</v>
      </c>
      <c r="I58" s="166">
        <v>46071.0</v>
      </c>
      <c r="J58" s="217" t="s">
        <v>69</v>
      </c>
      <c r="K58" s="78" t="s">
        <v>682</v>
      </c>
      <c r="L58" s="78"/>
      <c r="M58" s="78"/>
    </row>
    <row r="59" ht="13.5" customHeight="1">
      <c r="A59" s="78">
        <v>57.0</v>
      </c>
      <c r="B59" s="166">
        <v>46070.0</v>
      </c>
      <c r="C59" s="78" t="s">
        <v>752</v>
      </c>
      <c r="D59" s="78" t="s">
        <v>693</v>
      </c>
      <c r="E59" s="78" t="s">
        <v>688</v>
      </c>
      <c r="F59" s="78" t="s">
        <v>765</v>
      </c>
      <c r="G59" s="78" t="s">
        <v>729</v>
      </c>
      <c r="H59" s="78" t="s">
        <v>691</v>
      </c>
      <c r="I59" s="166">
        <v>46071.0</v>
      </c>
      <c r="J59" s="217" t="s">
        <v>69</v>
      </c>
      <c r="K59" s="78" t="s">
        <v>682</v>
      </c>
      <c r="L59" s="78"/>
      <c r="M59" s="78"/>
    </row>
    <row r="60" ht="13.5" customHeight="1">
      <c r="A60" s="78">
        <v>58.0</v>
      </c>
      <c r="B60" s="166">
        <v>46071.0</v>
      </c>
      <c r="C60" s="78" t="s">
        <v>750</v>
      </c>
      <c r="D60" s="78" t="s">
        <v>693</v>
      </c>
      <c r="E60" s="78" t="s">
        <v>688</v>
      </c>
      <c r="F60" s="78" t="s">
        <v>783</v>
      </c>
      <c r="G60" s="78" t="s">
        <v>729</v>
      </c>
      <c r="H60" s="78" t="s">
        <v>691</v>
      </c>
      <c r="I60" s="166">
        <v>46072.0</v>
      </c>
      <c r="J60" s="217" t="s">
        <v>69</v>
      </c>
      <c r="K60" s="78" t="s">
        <v>682</v>
      </c>
      <c r="L60" s="78"/>
      <c r="M60" s="78"/>
    </row>
    <row r="61" ht="13.5" customHeight="1">
      <c r="A61" s="78">
        <v>59.0</v>
      </c>
      <c r="B61" s="166">
        <v>46071.0</v>
      </c>
      <c r="C61" s="78" t="s">
        <v>792</v>
      </c>
      <c r="D61" s="78" t="s">
        <v>693</v>
      </c>
      <c r="E61" s="78" t="s">
        <v>688</v>
      </c>
      <c r="F61" s="78" t="s">
        <v>775</v>
      </c>
      <c r="G61" s="78" t="s">
        <v>729</v>
      </c>
      <c r="H61" s="78" t="s">
        <v>691</v>
      </c>
      <c r="I61" s="166">
        <v>46074.0</v>
      </c>
      <c r="J61" s="217" t="s">
        <v>69</v>
      </c>
      <c r="K61" s="78" t="s">
        <v>682</v>
      </c>
      <c r="L61" s="78"/>
      <c r="M61" s="78"/>
    </row>
    <row r="62" ht="13.5" customHeight="1">
      <c r="A62" s="78">
        <v>60.0</v>
      </c>
      <c r="B62" s="166">
        <v>46071.0</v>
      </c>
      <c r="C62" s="78" t="s">
        <v>793</v>
      </c>
      <c r="D62" s="78" t="s">
        <v>693</v>
      </c>
      <c r="E62" s="78" t="s">
        <v>688</v>
      </c>
      <c r="F62" s="78" t="s">
        <v>765</v>
      </c>
      <c r="G62" s="78" t="s">
        <v>729</v>
      </c>
      <c r="H62" s="78" t="s">
        <v>691</v>
      </c>
      <c r="I62" s="166">
        <v>46072.0</v>
      </c>
      <c r="J62" s="217" t="s">
        <v>69</v>
      </c>
      <c r="K62" s="78" t="s">
        <v>682</v>
      </c>
      <c r="L62" s="78"/>
      <c r="M62" s="78"/>
    </row>
    <row r="63" ht="13.5" customHeight="1">
      <c r="A63" s="78">
        <v>61.0</v>
      </c>
      <c r="B63" s="166">
        <v>46071.0</v>
      </c>
      <c r="C63" s="78" t="s">
        <v>794</v>
      </c>
      <c r="D63" s="78" t="s">
        <v>693</v>
      </c>
      <c r="E63" s="78" t="s">
        <v>688</v>
      </c>
      <c r="F63" s="78" t="s">
        <v>779</v>
      </c>
      <c r="G63" s="78" t="s">
        <v>729</v>
      </c>
      <c r="H63" s="78" t="s">
        <v>691</v>
      </c>
      <c r="I63" s="166">
        <v>46073.0</v>
      </c>
      <c r="J63" s="217" t="s">
        <v>69</v>
      </c>
      <c r="K63" s="78" t="s">
        <v>682</v>
      </c>
      <c r="L63" s="78"/>
      <c r="M63" s="78"/>
    </row>
    <row r="64" ht="13.5" customHeight="1">
      <c r="A64" s="78">
        <v>62.0</v>
      </c>
      <c r="B64" s="166">
        <v>46071.0</v>
      </c>
      <c r="C64" s="78" t="s">
        <v>727</v>
      </c>
      <c r="D64" s="78" t="s">
        <v>693</v>
      </c>
      <c r="E64" s="78" t="s">
        <v>688</v>
      </c>
      <c r="F64" s="78" t="s">
        <v>795</v>
      </c>
      <c r="G64" s="78" t="s">
        <v>729</v>
      </c>
      <c r="H64" s="78" t="s">
        <v>691</v>
      </c>
      <c r="I64" s="166">
        <v>46075.0</v>
      </c>
      <c r="J64" s="217" t="s">
        <v>69</v>
      </c>
      <c r="K64" s="78" t="s">
        <v>682</v>
      </c>
      <c r="L64" s="78"/>
      <c r="M64" s="78"/>
    </row>
    <row r="65" ht="13.5" customHeight="1">
      <c r="A65" s="78">
        <v>63.0</v>
      </c>
      <c r="B65" s="166">
        <v>46071.0</v>
      </c>
      <c r="C65" s="78" t="s">
        <v>753</v>
      </c>
      <c r="D65" s="78" t="s">
        <v>693</v>
      </c>
      <c r="E65" s="78" t="s">
        <v>688</v>
      </c>
      <c r="F65" s="78" t="s">
        <v>786</v>
      </c>
      <c r="G65" s="78" t="s">
        <v>729</v>
      </c>
      <c r="H65" s="78" t="s">
        <v>691</v>
      </c>
      <c r="I65" s="166">
        <v>46074.0</v>
      </c>
      <c r="J65" s="217" t="s">
        <v>69</v>
      </c>
      <c r="K65" s="78" t="s">
        <v>682</v>
      </c>
      <c r="L65" s="78"/>
      <c r="M65" s="78"/>
    </row>
    <row r="66" ht="13.5" customHeight="1">
      <c r="A66" s="78">
        <v>64.0</v>
      </c>
      <c r="B66" s="166">
        <v>46071.0</v>
      </c>
      <c r="C66" s="78" t="s">
        <v>774</v>
      </c>
      <c r="D66" s="78" t="s">
        <v>693</v>
      </c>
      <c r="E66" s="78" t="s">
        <v>688</v>
      </c>
      <c r="F66" s="78" t="s">
        <v>786</v>
      </c>
      <c r="G66" s="78" t="s">
        <v>729</v>
      </c>
      <c r="H66" s="78" t="s">
        <v>691</v>
      </c>
      <c r="I66" s="166">
        <v>46074.0</v>
      </c>
      <c r="J66" s="217" t="s">
        <v>69</v>
      </c>
      <c r="K66" s="78" t="s">
        <v>682</v>
      </c>
      <c r="L66" s="78"/>
      <c r="M66" s="78"/>
    </row>
    <row r="67" ht="13.5" customHeight="1">
      <c r="A67" s="78">
        <v>65.0</v>
      </c>
      <c r="B67" s="166">
        <v>46071.0</v>
      </c>
      <c r="C67" s="78" t="s">
        <v>773</v>
      </c>
      <c r="D67" s="78" t="s">
        <v>693</v>
      </c>
      <c r="E67" s="78" t="s">
        <v>688</v>
      </c>
      <c r="F67" s="78" t="s">
        <v>783</v>
      </c>
      <c r="G67" s="78" t="s">
        <v>729</v>
      </c>
      <c r="H67" s="78" t="s">
        <v>691</v>
      </c>
      <c r="I67" s="166">
        <v>46074.0</v>
      </c>
      <c r="J67" s="217" t="s">
        <v>69</v>
      </c>
      <c r="K67" s="78" t="s">
        <v>682</v>
      </c>
      <c r="L67" s="78"/>
      <c r="M67" s="78"/>
    </row>
    <row r="68" ht="13.5" customHeight="1">
      <c r="A68" s="78">
        <v>66.0</v>
      </c>
      <c r="B68" s="166">
        <v>46071.0</v>
      </c>
      <c r="C68" s="78" t="s">
        <v>741</v>
      </c>
      <c r="D68" s="78" t="s">
        <v>693</v>
      </c>
      <c r="E68" s="78" t="s">
        <v>688</v>
      </c>
      <c r="F68" s="78" t="s">
        <v>786</v>
      </c>
      <c r="G68" s="78" t="s">
        <v>729</v>
      </c>
      <c r="H68" s="78" t="s">
        <v>691</v>
      </c>
      <c r="I68" s="166">
        <v>46074.0</v>
      </c>
      <c r="J68" s="217" t="s">
        <v>69</v>
      </c>
      <c r="K68" s="78" t="s">
        <v>682</v>
      </c>
      <c r="L68" s="78"/>
      <c r="M68" s="78"/>
    </row>
    <row r="69" ht="13.5" customHeight="1">
      <c r="A69" s="78">
        <v>67.0</v>
      </c>
      <c r="B69" s="166">
        <v>46072.0</v>
      </c>
      <c r="C69" s="78" t="s">
        <v>796</v>
      </c>
      <c r="D69" s="78" t="s">
        <v>693</v>
      </c>
      <c r="E69" s="78" t="s">
        <v>688</v>
      </c>
      <c r="F69" s="78" t="s">
        <v>775</v>
      </c>
      <c r="G69" s="78" t="s">
        <v>729</v>
      </c>
      <c r="H69" s="78" t="s">
        <v>691</v>
      </c>
      <c r="I69" s="166">
        <v>46075.0</v>
      </c>
      <c r="J69" s="217" t="s">
        <v>69</v>
      </c>
      <c r="K69" s="78" t="s">
        <v>682</v>
      </c>
      <c r="L69" s="78"/>
      <c r="M69" s="78"/>
    </row>
    <row r="70" ht="13.5" customHeight="1">
      <c r="A70" s="78">
        <v>68.0</v>
      </c>
      <c r="B70" s="166">
        <v>46072.0</v>
      </c>
      <c r="C70" s="78" t="s">
        <v>797</v>
      </c>
      <c r="D70" s="78" t="s">
        <v>693</v>
      </c>
      <c r="E70" s="78" t="s">
        <v>688</v>
      </c>
      <c r="F70" s="78" t="s">
        <v>781</v>
      </c>
      <c r="G70" s="78" t="s">
        <v>729</v>
      </c>
      <c r="H70" s="78" t="s">
        <v>691</v>
      </c>
      <c r="I70" s="166">
        <v>46073.0</v>
      </c>
      <c r="J70" s="217" t="s">
        <v>69</v>
      </c>
      <c r="K70" s="78" t="s">
        <v>682</v>
      </c>
      <c r="L70" s="78"/>
      <c r="M70" s="78"/>
    </row>
    <row r="71" ht="13.5" customHeight="1">
      <c r="A71" s="78">
        <v>69.0</v>
      </c>
      <c r="B71" s="166">
        <v>46073.0</v>
      </c>
      <c r="C71" s="78" t="s">
        <v>798</v>
      </c>
      <c r="D71" s="78" t="s">
        <v>693</v>
      </c>
      <c r="E71" s="78" t="s">
        <v>688</v>
      </c>
      <c r="F71" s="78" t="s">
        <v>776</v>
      </c>
      <c r="G71" s="78" t="s">
        <v>729</v>
      </c>
      <c r="H71" s="78" t="s">
        <v>691</v>
      </c>
      <c r="I71" s="166">
        <v>46073.0</v>
      </c>
      <c r="J71" s="217" t="s">
        <v>69</v>
      </c>
      <c r="K71" s="78" t="s">
        <v>682</v>
      </c>
      <c r="L71" s="78"/>
      <c r="M71" s="78"/>
    </row>
    <row r="72" ht="13.5" customHeight="1">
      <c r="A72" s="78">
        <v>70.0</v>
      </c>
      <c r="B72" s="166">
        <v>46073.0</v>
      </c>
      <c r="C72" s="78" t="s">
        <v>799</v>
      </c>
      <c r="D72" s="78" t="s">
        <v>693</v>
      </c>
      <c r="E72" s="78" t="s">
        <v>688</v>
      </c>
      <c r="F72" s="78" t="s">
        <v>754</v>
      </c>
      <c r="G72" s="78" t="s">
        <v>729</v>
      </c>
      <c r="H72" s="78" t="s">
        <v>691</v>
      </c>
      <c r="I72" s="166">
        <v>46075.0</v>
      </c>
      <c r="J72" s="217" t="s">
        <v>69</v>
      </c>
      <c r="K72" s="78" t="s">
        <v>682</v>
      </c>
      <c r="L72" s="78"/>
      <c r="M72" s="78"/>
    </row>
    <row r="73" ht="13.5" customHeight="1">
      <c r="A73" s="78">
        <v>71.0</v>
      </c>
      <c r="B73" s="166">
        <v>46073.0</v>
      </c>
      <c r="C73" s="78" t="s">
        <v>800</v>
      </c>
      <c r="D73" s="78" t="s">
        <v>693</v>
      </c>
      <c r="E73" s="78" t="s">
        <v>688</v>
      </c>
      <c r="F73" s="78" t="s">
        <v>783</v>
      </c>
      <c r="G73" s="78" t="s">
        <v>729</v>
      </c>
      <c r="H73" s="78" t="s">
        <v>691</v>
      </c>
      <c r="I73" s="166">
        <v>46074.0</v>
      </c>
      <c r="J73" s="217" t="s">
        <v>69</v>
      </c>
      <c r="K73" s="78" t="s">
        <v>682</v>
      </c>
      <c r="L73" s="78"/>
      <c r="M73" s="78"/>
    </row>
    <row r="74" ht="13.5" customHeight="1">
      <c r="A74" s="78">
        <v>72.0</v>
      </c>
      <c r="B74" s="166">
        <v>46074.0</v>
      </c>
      <c r="C74" s="78" t="s">
        <v>801</v>
      </c>
      <c r="D74" s="78" t="s">
        <v>693</v>
      </c>
      <c r="E74" s="78" t="s">
        <v>688</v>
      </c>
      <c r="F74" s="78" t="s">
        <v>795</v>
      </c>
      <c r="G74" s="78" t="s">
        <v>729</v>
      </c>
      <c r="H74" s="78" t="s">
        <v>691</v>
      </c>
      <c r="I74" s="166">
        <v>46076.0</v>
      </c>
      <c r="J74" s="217" t="s">
        <v>69</v>
      </c>
      <c r="K74" s="78" t="s">
        <v>682</v>
      </c>
      <c r="L74" s="78"/>
      <c r="M74" s="78"/>
    </row>
    <row r="75" ht="13.5" customHeight="1">
      <c r="A75" s="78">
        <v>73.0</v>
      </c>
      <c r="B75" s="166">
        <v>46075.0</v>
      </c>
      <c r="C75" s="78" t="s">
        <v>793</v>
      </c>
      <c r="D75" s="78" t="s">
        <v>693</v>
      </c>
      <c r="E75" s="78" t="s">
        <v>688</v>
      </c>
      <c r="F75" s="78" t="s">
        <v>802</v>
      </c>
      <c r="G75" s="78" t="s">
        <v>729</v>
      </c>
      <c r="H75" s="78" t="s">
        <v>691</v>
      </c>
      <c r="I75" s="166">
        <v>46076.0</v>
      </c>
      <c r="J75" s="217" t="s">
        <v>69</v>
      </c>
      <c r="K75" s="78" t="s">
        <v>682</v>
      </c>
      <c r="L75" s="78"/>
      <c r="M75" s="78"/>
    </row>
    <row r="76" ht="13.5" customHeight="1">
      <c r="A76" s="78">
        <v>74.0</v>
      </c>
      <c r="B76" s="166">
        <v>46075.0</v>
      </c>
      <c r="C76" s="78" t="s">
        <v>743</v>
      </c>
      <c r="D76" s="78" t="s">
        <v>693</v>
      </c>
      <c r="E76" s="78" t="s">
        <v>688</v>
      </c>
      <c r="F76" s="78" t="s">
        <v>786</v>
      </c>
      <c r="G76" s="78" t="s">
        <v>729</v>
      </c>
      <c r="H76" s="78" t="s">
        <v>691</v>
      </c>
      <c r="I76" s="166">
        <v>46077.0</v>
      </c>
      <c r="J76" s="217" t="s">
        <v>69</v>
      </c>
      <c r="K76" s="78" t="s">
        <v>682</v>
      </c>
      <c r="L76" s="78"/>
      <c r="M76" s="78"/>
    </row>
    <row r="77" ht="13.5" customHeight="1">
      <c r="A77" s="78">
        <v>75.0</v>
      </c>
      <c r="B77" s="166">
        <v>46075.0</v>
      </c>
      <c r="C77" s="78" t="s">
        <v>778</v>
      </c>
      <c r="D77" s="78" t="s">
        <v>693</v>
      </c>
      <c r="E77" s="78" t="s">
        <v>688</v>
      </c>
      <c r="F77" s="78" t="s">
        <v>756</v>
      </c>
      <c r="G77" s="78" t="s">
        <v>729</v>
      </c>
      <c r="H77" s="78" t="s">
        <v>691</v>
      </c>
      <c r="I77" s="166">
        <v>46076.0</v>
      </c>
      <c r="J77" s="217" t="s">
        <v>69</v>
      </c>
      <c r="K77" s="78" t="s">
        <v>682</v>
      </c>
      <c r="L77" s="78"/>
      <c r="M77" s="78"/>
    </row>
    <row r="78" ht="13.5" customHeight="1">
      <c r="A78" s="78">
        <v>76.0</v>
      </c>
      <c r="B78" s="166">
        <v>46075.0</v>
      </c>
      <c r="C78" s="78" t="s">
        <v>803</v>
      </c>
      <c r="D78" s="78" t="s">
        <v>693</v>
      </c>
      <c r="E78" s="78" t="s">
        <v>688</v>
      </c>
      <c r="F78" s="78" t="s">
        <v>786</v>
      </c>
      <c r="G78" s="78" t="s">
        <v>729</v>
      </c>
      <c r="H78" s="78" t="s">
        <v>691</v>
      </c>
      <c r="I78" s="166">
        <v>46077.0</v>
      </c>
      <c r="J78" s="217" t="s">
        <v>69</v>
      </c>
      <c r="K78" s="78" t="s">
        <v>682</v>
      </c>
      <c r="L78" s="78"/>
      <c r="M78" s="78"/>
    </row>
    <row r="79" ht="31.5" customHeight="1">
      <c r="A79" s="92">
        <v>77.0</v>
      </c>
      <c r="B79" s="223">
        <v>46075.0</v>
      </c>
      <c r="C79" s="92" t="s">
        <v>800</v>
      </c>
      <c r="D79" s="92" t="s">
        <v>693</v>
      </c>
      <c r="E79" s="92" t="s">
        <v>688</v>
      </c>
      <c r="F79" s="145" t="s">
        <v>804</v>
      </c>
      <c r="G79" s="92" t="s">
        <v>729</v>
      </c>
      <c r="H79" s="92" t="s">
        <v>691</v>
      </c>
      <c r="I79" s="223">
        <v>46079.0</v>
      </c>
      <c r="J79" s="217" t="s">
        <v>69</v>
      </c>
      <c r="K79" s="92" t="s">
        <v>682</v>
      </c>
      <c r="L79" s="78"/>
      <c r="M79" s="78"/>
    </row>
    <row r="80" ht="13.5" customHeight="1">
      <c r="A80" s="78">
        <v>78.0</v>
      </c>
      <c r="B80" s="166">
        <v>46076.0</v>
      </c>
      <c r="C80" s="78" t="s">
        <v>790</v>
      </c>
      <c r="D80" s="78" t="s">
        <v>693</v>
      </c>
      <c r="E80" s="78" t="s">
        <v>688</v>
      </c>
      <c r="F80" s="78" t="s">
        <v>802</v>
      </c>
      <c r="G80" s="78" t="s">
        <v>729</v>
      </c>
      <c r="H80" s="78" t="s">
        <v>691</v>
      </c>
      <c r="I80" s="166">
        <v>46081.0</v>
      </c>
      <c r="J80" s="217" t="s">
        <v>69</v>
      </c>
      <c r="K80" s="78" t="s">
        <v>682</v>
      </c>
      <c r="L80" s="224"/>
      <c r="M80" s="224"/>
    </row>
    <row r="81" ht="13.5" customHeight="1">
      <c r="A81" s="78">
        <v>79.0</v>
      </c>
      <c r="B81" s="166">
        <v>46076.0</v>
      </c>
      <c r="C81" s="78" t="s">
        <v>774</v>
      </c>
      <c r="D81" s="78" t="s">
        <v>693</v>
      </c>
      <c r="E81" s="78" t="s">
        <v>688</v>
      </c>
      <c r="F81" s="78" t="s">
        <v>776</v>
      </c>
      <c r="G81" s="78" t="s">
        <v>729</v>
      </c>
      <c r="H81" s="78" t="s">
        <v>691</v>
      </c>
      <c r="I81" s="166">
        <v>46081.0</v>
      </c>
      <c r="J81" s="217" t="s">
        <v>69</v>
      </c>
      <c r="K81" s="78" t="s">
        <v>682</v>
      </c>
      <c r="L81" s="224"/>
      <c r="M81" s="224"/>
    </row>
    <row r="82" ht="13.5" customHeight="1">
      <c r="A82" s="78">
        <v>80.0</v>
      </c>
      <c r="B82" s="166">
        <v>46076.0</v>
      </c>
      <c r="C82" s="78" t="s">
        <v>741</v>
      </c>
      <c r="D82" s="78" t="s">
        <v>693</v>
      </c>
      <c r="E82" s="78" t="s">
        <v>688</v>
      </c>
      <c r="F82" s="78" t="s">
        <v>775</v>
      </c>
      <c r="G82" s="78" t="s">
        <v>729</v>
      </c>
      <c r="H82" s="78" t="s">
        <v>691</v>
      </c>
      <c r="I82" s="166">
        <v>46078.0</v>
      </c>
      <c r="J82" s="217" t="s">
        <v>69</v>
      </c>
      <c r="K82" s="78" t="s">
        <v>682</v>
      </c>
      <c r="L82" s="224"/>
      <c r="M82" s="224"/>
    </row>
    <row r="83" ht="13.5" customHeight="1">
      <c r="A83" s="78">
        <v>81.0</v>
      </c>
      <c r="B83" s="166">
        <v>46076.0</v>
      </c>
      <c r="C83" s="78" t="s">
        <v>805</v>
      </c>
      <c r="D83" s="78" t="s">
        <v>693</v>
      </c>
      <c r="E83" s="78" t="s">
        <v>688</v>
      </c>
      <c r="F83" s="78" t="s">
        <v>795</v>
      </c>
      <c r="G83" s="78" t="s">
        <v>729</v>
      </c>
      <c r="H83" s="78" t="s">
        <v>691</v>
      </c>
      <c r="I83" s="166">
        <v>46080.0</v>
      </c>
      <c r="J83" s="217" t="s">
        <v>69</v>
      </c>
      <c r="K83" s="78" t="s">
        <v>682</v>
      </c>
      <c r="L83" s="224"/>
      <c r="M83" s="224"/>
    </row>
    <row r="84" ht="13.5" customHeight="1">
      <c r="A84" s="78">
        <v>82.0</v>
      </c>
      <c r="B84" s="166">
        <v>46076.0</v>
      </c>
      <c r="C84" s="78" t="s">
        <v>806</v>
      </c>
      <c r="D84" s="78" t="s">
        <v>693</v>
      </c>
      <c r="E84" s="78" t="s">
        <v>688</v>
      </c>
      <c r="F84" s="78" t="s">
        <v>786</v>
      </c>
      <c r="G84" s="78" t="s">
        <v>729</v>
      </c>
      <c r="H84" s="78" t="s">
        <v>691</v>
      </c>
      <c r="I84" s="166">
        <v>46078.0</v>
      </c>
      <c r="J84" s="217" t="s">
        <v>69</v>
      </c>
      <c r="K84" s="78" t="s">
        <v>682</v>
      </c>
      <c r="L84" s="224"/>
      <c r="M84" s="224"/>
    </row>
    <row r="85" ht="13.5" customHeight="1">
      <c r="A85" s="78">
        <v>83.0</v>
      </c>
      <c r="B85" s="166">
        <v>46076.0</v>
      </c>
      <c r="C85" s="78" t="s">
        <v>799</v>
      </c>
      <c r="D85" s="78" t="s">
        <v>693</v>
      </c>
      <c r="E85" s="78" t="s">
        <v>688</v>
      </c>
      <c r="F85" s="78" t="s">
        <v>786</v>
      </c>
      <c r="G85" s="78" t="s">
        <v>729</v>
      </c>
      <c r="H85" s="78" t="s">
        <v>691</v>
      </c>
      <c r="I85" s="166">
        <v>46080.0</v>
      </c>
      <c r="J85" s="217" t="s">
        <v>69</v>
      </c>
      <c r="K85" s="78" t="s">
        <v>682</v>
      </c>
      <c r="L85" s="224"/>
      <c r="M85" s="224"/>
    </row>
    <row r="86" ht="13.5" customHeight="1">
      <c r="A86" s="78">
        <v>84.0</v>
      </c>
      <c r="B86" s="166">
        <v>46076.0</v>
      </c>
      <c r="C86" s="78" t="s">
        <v>752</v>
      </c>
      <c r="D86" s="78" t="s">
        <v>693</v>
      </c>
      <c r="E86" s="78" t="s">
        <v>688</v>
      </c>
      <c r="F86" s="78" t="s">
        <v>795</v>
      </c>
      <c r="G86" s="78" t="s">
        <v>729</v>
      </c>
      <c r="H86" s="78" t="s">
        <v>691</v>
      </c>
      <c r="I86" s="166">
        <v>46078.0</v>
      </c>
      <c r="J86" s="217" t="s">
        <v>69</v>
      </c>
      <c r="K86" s="78" t="s">
        <v>682</v>
      </c>
      <c r="L86" s="224"/>
      <c r="M86" s="224"/>
    </row>
    <row r="87" ht="13.5" customHeight="1">
      <c r="A87" s="78">
        <v>85.0</v>
      </c>
      <c r="B87" s="166">
        <v>46076.0</v>
      </c>
      <c r="C87" s="78" t="s">
        <v>807</v>
      </c>
      <c r="D87" s="78" t="s">
        <v>693</v>
      </c>
      <c r="E87" s="78" t="s">
        <v>688</v>
      </c>
      <c r="F87" s="78" t="s">
        <v>783</v>
      </c>
      <c r="G87" s="78" t="s">
        <v>729</v>
      </c>
      <c r="H87" s="78" t="s">
        <v>691</v>
      </c>
      <c r="I87" s="166">
        <v>46078.0</v>
      </c>
      <c r="J87" s="217" t="s">
        <v>69</v>
      </c>
      <c r="K87" s="78" t="s">
        <v>682</v>
      </c>
      <c r="L87" s="224"/>
      <c r="M87" s="224"/>
    </row>
    <row r="88" ht="13.5" customHeight="1">
      <c r="A88" s="78">
        <v>86.0</v>
      </c>
      <c r="B88" s="166">
        <v>46076.0</v>
      </c>
      <c r="C88" s="78" t="s">
        <v>784</v>
      </c>
      <c r="D88" s="78" t="s">
        <v>693</v>
      </c>
      <c r="E88" s="78" t="s">
        <v>688</v>
      </c>
      <c r="F88" s="78" t="s">
        <v>756</v>
      </c>
      <c r="G88" s="78" t="s">
        <v>729</v>
      </c>
      <c r="H88" s="78" t="s">
        <v>691</v>
      </c>
      <c r="I88" s="166">
        <v>46079.0</v>
      </c>
      <c r="J88" s="217" t="s">
        <v>69</v>
      </c>
      <c r="K88" s="78" t="s">
        <v>682</v>
      </c>
      <c r="L88" s="224"/>
      <c r="M88" s="224"/>
    </row>
    <row r="89" ht="13.5" customHeight="1">
      <c r="A89" s="78">
        <v>87.0</v>
      </c>
      <c r="B89" s="166">
        <v>46076.0</v>
      </c>
      <c r="C89" s="78" t="s">
        <v>808</v>
      </c>
      <c r="D89" s="78" t="s">
        <v>693</v>
      </c>
      <c r="E89" s="78" t="s">
        <v>688</v>
      </c>
      <c r="F89" s="78" t="s">
        <v>781</v>
      </c>
      <c r="G89" s="78" t="s">
        <v>729</v>
      </c>
      <c r="H89" s="78" t="s">
        <v>691</v>
      </c>
      <c r="I89" s="166">
        <v>46080.0</v>
      </c>
      <c r="J89" s="217" t="s">
        <v>69</v>
      </c>
      <c r="K89" s="78" t="s">
        <v>682</v>
      </c>
      <c r="L89" s="78"/>
      <c r="M89" s="78"/>
    </row>
    <row r="90" ht="13.5" customHeight="1">
      <c r="A90" s="78">
        <v>88.0</v>
      </c>
      <c r="B90" s="166">
        <v>46076.0</v>
      </c>
      <c r="C90" s="78" t="s">
        <v>796</v>
      </c>
      <c r="D90" s="78" t="s">
        <v>693</v>
      </c>
      <c r="E90" s="78" t="s">
        <v>688</v>
      </c>
      <c r="F90" s="78" t="s">
        <v>783</v>
      </c>
      <c r="G90" s="78" t="s">
        <v>729</v>
      </c>
      <c r="H90" s="78" t="s">
        <v>691</v>
      </c>
      <c r="I90" s="166">
        <v>46081.0</v>
      </c>
      <c r="J90" s="217" t="s">
        <v>69</v>
      </c>
      <c r="K90" s="78" t="s">
        <v>682</v>
      </c>
      <c r="L90" s="78"/>
      <c r="M90" s="78"/>
    </row>
    <row r="91" ht="13.5" customHeight="1">
      <c r="A91" s="78">
        <v>89.0</v>
      </c>
      <c r="B91" s="166">
        <v>46078.0</v>
      </c>
      <c r="C91" s="78" t="s">
        <v>782</v>
      </c>
      <c r="D91" s="78" t="s">
        <v>693</v>
      </c>
      <c r="E91" s="78" t="s">
        <v>688</v>
      </c>
      <c r="F91" s="78" t="s">
        <v>756</v>
      </c>
      <c r="G91" s="78" t="s">
        <v>729</v>
      </c>
      <c r="H91" s="78" t="s">
        <v>691</v>
      </c>
      <c r="I91" s="166">
        <v>46079.0</v>
      </c>
      <c r="J91" s="217" t="s">
        <v>69</v>
      </c>
      <c r="K91" s="78" t="s">
        <v>682</v>
      </c>
      <c r="L91" s="78"/>
      <c r="M91" s="78"/>
    </row>
    <row r="92" ht="13.5" customHeight="1">
      <c r="A92" s="77">
        <v>90.0</v>
      </c>
      <c r="B92" s="166">
        <v>46081.0</v>
      </c>
      <c r="C92" s="150" t="s">
        <v>809</v>
      </c>
      <c r="D92" s="77" t="s">
        <v>707</v>
      </c>
      <c r="E92" s="77" t="s">
        <v>682</v>
      </c>
      <c r="F92" s="150" t="s">
        <v>421</v>
      </c>
      <c r="G92" s="78"/>
      <c r="H92" s="78"/>
      <c r="I92" s="225"/>
      <c r="J92" s="226" t="s">
        <v>286</v>
      </c>
      <c r="K92" s="78"/>
      <c r="L92" s="78"/>
      <c r="M92" s="78"/>
    </row>
    <row r="93" ht="13.5" customHeight="1">
      <c r="A93" s="77">
        <v>91.0</v>
      </c>
      <c r="B93" s="225">
        <v>46082.0</v>
      </c>
      <c r="C93" s="150" t="s">
        <v>810</v>
      </c>
      <c r="D93" s="78" t="s">
        <v>693</v>
      </c>
      <c r="E93" s="78" t="s">
        <v>688</v>
      </c>
      <c r="F93" s="150" t="s">
        <v>802</v>
      </c>
      <c r="G93" s="78" t="s">
        <v>729</v>
      </c>
      <c r="H93" s="78" t="s">
        <v>691</v>
      </c>
      <c r="I93" s="225">
        <v>46083.0</v>
      </c>
      <c r="J93" s="217" t="s">
        <v>69</v>
      </c>
      <c r="K93" s="78" t="s">
        <v>682</v>
      </c>
      <c r="L93" s="78"/>
      <c r="M93" s="78"/>
    </row>
    <row r="94" ht="13.5" customHeight="1">
      <c r="A94" s="77">
        <v>92.0</v>
      </c>
      <c r="B94" s="225">
        <v>46083.0</v>
      </c>
      <c r="C94" s="150" t="s">
        <v>790</v>
      </c>
      <c r="D94" s="78" t="s">
        <v>693</v>
      </c>
      <c r="E94" s="78" t="s">
        <v>688</v>
      </c>
      <c r="F94" s="150" t="s">
        <v>802</v>
      </c>
      <c r="G94" s="78" t="s">
        <v>729</v>
      </c>
      <c r="H94" s="78" t="s">
        <v>691</v>
      </c>
      <c r="I94" s="225">
        <v>46084.0</v>
      </c>
      <c r="J94" s="217" t="s">
        <v>69</v>
      </c>
      <c r="K94" s="78" t="s">
        <v>682</v>
      </c>
      <c r="L94" s="78"/>
      <c r="M94" s="78"/>
    </row>
    <row r="95" ht="13.5" customHeight="1">
      <c r="A95" s="77">
        <v>93.0</v>
      </c>
      <c r="B95" s="225">
        <v>46083.0</v>
      </c>
      <c r="C95" s="150" t="s">
        <v>811</v>
      </c>
      <c r="D95" s="78" t="s">
        <v>693</v>
      </c>
      <c r="E95" s="78" t="s">
        <v>688</v>
      </c>
      <c r="F95" s="150" t="s">
        <v>812</v>
      </c>
      <c r="G95" s="78" t="s">
        <v>729</v>
      </c>
      <c r="H95" s="78" t="s">
        <v>691</v>
      </c>
      <c r="I95" s="225">
        <v>46084.0</v>
      </c>
      <c r="J95" s="217" t="s">
        <v>69</v>
      </c>
      <c r="K95" s="78" t="s">
        <v>682</v>
      </c>
      <c r="L95" s="78"/>
      <c r="M95" s="78"/>
    </row>
    <row r="96" ht="13.5" customHeight="1">
      <c r="A96" s="150">
        <v>94.0</v>
      </c>
      <c r="B96" s="225">
        <v>46089.0</v>
      </c>
      <c r="C96" s="150" t="s">
        <v>813</v>
      </c>
      <c r="D96" s="78" t="s">
        <v>693</v>
      </c>
      <c r="E96" s="78" t="s">
        <v>688</v>
      </c>
      <c r="F96" s="150" t="s">
        <v>814</v>
      </c>
      <c r="G96" s="78" t="s">
        <v>729</v>
      </c>
      <c r="H96" s="78" t="s">
        <v>691</v>
      </c>
      <c r="I96" s="225">
        <v>46089.0</v>
      </c>
      <c r="J96" s="217" t="s">
        <v>69</v>
      </c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</row>
    <row r="97" ht="13.5" customHeight="1">
      <c r="A97" s="227">
        <v>95.0</v>
      </c>
      <c r="B97" s="225">
        <v>46093.0</v>
      </c>
      <c r="C97" s="227" t="s">
        <v>815</v>
      </c>
      <c r="D97" s="78" t="s">
        <v>693</v>
      </c>
      <c r="E97" s="78" t="s">
        <v>688</v>
      </c>
      <c r="F97" s="227" t="s">
        <v>816</v>
      </c>
      <c r="G97" s="78" t="s">
        <v>729</v>
      </c>
      <c r="H97" s="78" t="s">
        <v>691</v>
      </c>
      <c r="I97" s="225">
        <v>46093.0</v>
      </c>
      <c r="J97" s="217" t="s">
        <v>69</v>
      </c>
    </row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M1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0.88"/>
    <col customWidth="1" min="3" max="3" width="11.25"/>
    <col customWidth="1" min="4" max="4" width="13.13"/>
    <col customWidth="1" min="5" max="5" width="12.88"/>
    <col customWidth="1" min="6" max="6" width="36.75"/>
    <col customWidth="1" min="7" max="7" width="40.75"/>
    <col customWidth="1" min="8" max="8" width="24.38"/>
    <col customWidth="1" min="9" max="9" width="18.88"/>
    <col customWidth="1" min="10" max="10" width="15.75"/>
    <col customWidth="1" min="11" max="11" width="19.88"/>
    <col customWidth="1" min="12" max="12" width="22.0"/>
    <col customWidth="1" min="13" max="13" width="21.38"/>
    <col customWidth="1" min="14" max="26" width="14.38"/>
  </cols>
  <sheetData>
    <row r="1" ht="13.5" customHeight="1">
      <c r="A1" s="213" t="s">
        <v>673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3.5" customHeight="1">
      <c r="A2" s="214" t="s">
        <v>674</v>
      </c>
      <c r="B2" s="214" t="s">
        <v>218</v>
      </c>
      <c r="C2" s="215" t="s">
        <v>817</v>
      </c>
      <c r="D2" s="214" t="s">
        <v>675</v>
      </c>
      <c r="E2" s="216" t="s">
        <v>676</v>
      </c>
      <c r="F2" s="214" t="s">
        <v>406</v>
      </c>
      <c r="G2" s="214" t="s">
        <v>291</v>
      </c>
      <c r="H2" s="214" t="s">
        <v>677</v>
      </c>
      <c r="I2" s="214" t="s">
        <v>292</v>
      </c>
      <c r="J2" s="214" t="s">
        <v>122</v>
      </c>
      <c r="K2" s="214" t="s">
        <v>678</v>
      </c>
      <c r="L2" s="214" t="s">
        <v>679</v>
      </c>
      <c r="M2" s="214" t="s">
        <v>680</v>
      </c>
    </row>
    <row r="3" ht="13.5" customHeight="1">
      <c r="A3" s="90">
        <v>1.0</v>
      </c>
      <c r="B3" s="146">
        <v>46023.0</v>
      </c>
      <c r="C3" s="78" t="s">
        <v>818</v>
      </c>
      <c r="D3" s="78" t="s">
        <v>97</v>
      </c>
      <c r="E3" s="78" t="s">
        <v>682</v>
      </c>
      <c r="F3" s="78" t="s">
        <v>819</v>
      </c>
      <c r="G3" s="78" t="s">
        <v>314</v>
      </c>
      <c r="H3" s="78" t="s">
        <v>685</v>
      </c>
      <c r="I3" s="146">
        <v>46049.0</v>
      </c>
      <c r="J3" s="228" t="s">
        <v>69</v>
      </c>
      <c r="K3" s="229" t="s">
        <v>682</v>
      </c>
      <c r="L3" s="78" t="s">
        <v>820</v>
      </c>
      <c r="M3" s="78" t="s">
        <v>821</v>
      </c>
    </row>
    <row r="4" ht="13.5" customHeight="1">
      <c r="A4" s="90">
        <v>2.0</v>
      </c>
      <c r="B4" s="146">
        <v>46044.0</v>
      </c>
      <c r="C4" s="78" t="s">
        <v>822</v>
      </c>
      <c r="D4" s="78" t="s">
        <v>98</v>
      </c>
      <c r="E4" s="78" t="s">
        <v>682</v>
      </c>
      <c r="F4" s="78" t="s">
        <v>823</v>
      </c>
      <c r="G4" s="78" t="s">
        <v>824</v>
      </c>
      <c r="H4" s="78" t="s">
        <v>691</v>
      </c>
      <c r="I4" s="146">
        <v>46045.0</v>
      </c>
      <c r="J4" s="217" t="s">
        <v>69</v>
      </c>
      <c r="K4" s="78" t="s">
        <v>682</v>
      </c>
      <c r="L4" s="79"/>
      <c r="M4" s="79"/>
    </row>
    <row r="5" ht="13.5" customHeight="1">
      <c r="A5" s="90">
        <v>3.0</v>
      </c>
      <c r="B5" s="146">
        <v>46044.0</v>
      </c>
      <c r="C5" s="78" t="s">
        <v>822</v>
      </c>
      <c r="D5" s="78" t="s">
        <v>97</v>
      </c>
      <c r="E5" s="78" t="s">
        <v>682</v>
      </c>
      <c r="F5" s="78" t="s">
        <v>825</v>
      </c>
      <c r="G5" s="78" t="s">
        <v>826</v>
      </c>
      <c r="H5" s="78" t="s">
        <v>691</v>
      </c>
      <c r="I5" s="146">
        <v>46049.0</v>
      </c>
      <c r="J5" s="217" t="s">
        <v>69</v>
      </c>
      <c r="K5" s="78" t="s">
        <v>688</v>
      </c>
      <c r="L5" s="224" t="s">
        <v>827</v>
      </c>
      <c r="M5" s="224" t="s">
        <v>828</v>
      </c>
    </row>
    <row r="6" ht="13.5" customHeight="1">
      <c r="A6" s="90">
        <v>4.0</v>
      </c>
      <c r="B6" s="139">
        <v>46044.0</v>
      </c>
      <c r="C6" s="78" t="s">
        <v>822</v>
      </c>
      <c r="D6" s="90" t="s">
        <v>829</v>
      </c>
      <c r="E6" s="90" t="s">
        <v>682</v>
      </c>
      <c r="F6" s="145" t="s">
        <v>830</v>
      </c>
      <c r="G6" s="145"/>
      <c r="H6" s="78"/>
      <c r="I6" s="218"/>
      <c r="J6" s="230" t="s">
        <v>286</v>
      </c>
      <c r="K6" s="145" t="s">
        <v>682</v>
      </c>
      <c r="L6" s="79"/>
      <c r="M6" s="79"/>
    </row>
    <row r="7" ht="13.5" customHeight="1">
      <c r="A7" s="90">
        <v>5.0</v>
      </c>
      <c r="B7" s="144">
        <v>46057.0</v>
      </c>
      <c r="C7" s="78" t="s">
        <v>822</v>
      </c>
      <c r="D7" s="92" t="s">
        <v>831</v>
      </c>
      <c r="E7" s="90" t="s">
        <v>682</v>
      </c>
      <c r="F7" s="145" t="s">
        <v>832</v>
      </c>
      <c r="G7" s="231" t="s">
        <v>833</v>
      </c>
      <c r="H7" s="78" t="s">
        <v>691</v>
      </c>
      <c r="I7" s="232">
        <v>46082.0</v>
      </c>
      <c r="J7" s="217" t="s">
        <v>69</v>
      </c>
      <c r="K7" s="231" t="s">
        <v>688</v>
      </c>
      <c r="L7" s="145"/>
      <c r="M7" s="145"/>
    </row>
    <row r="8" ht="27.0" customHeight="1">
      <c r="A8" s="90">
        <v>6.0</v>
      </c>
      <c r="B8" s="144">
        <v>46058.0</v>
      </c>
      <c r="C8" s="92" t="s">
        <v>822</v>
      </c>
      <c r="D8" s="92" t="s">
        <v>834</v>
      </c>
      <c r="E8" s="90" t="s">
        <v>682</v>
      </c>
      <c r="F8" s="145" t="s">
        <v>835</v>
      </c>
      <c r="G8" s="145" t="s">
        <v>836</v>
      </c>
      <c r="H8" s="145" t="s">
        <v>685</v>
      </c>
      <c r="I8" s="144">
        <v>46058.0</v>
      </c>
      <c r="J8" s="217" t="s">
        <v>69</v>
      </c>
      <c r="K8" s="145" t="s">
        <v>682</v>
      </c>
      <c r="L8" s="85"/>
      <c r="M8" s="85"/>
    </row>
    <row r="9" ht="30.75" customHeight="1">
      <c r="A9" s="90">
        <v>7.0</v>
      </c>
      <c r="B9" s="144">
        <v>46058.0</v>
      </c>
      <c r="C9" s="92" t="s">
        <v>822</v>
      </c>
      <c r="D9" s="92" t="s">
        <v>837</v>
      </c>
      <c r="E9" s="90" t="s">
        <v>682</v>
      </c>
      <c r="F9" s="145" t="s">
        <v>835</v>
      </c>
      <c r="G9" s="145" t="s">
        <v>836</v>
      </c>
      <c r="H9" s="145" t="s">
        <v>685</v>
      </c>
      <c r="I9" s="144">
        <v>46058.0</v>
      </c>
      <c r="J9" s="217" t="s">
        <v>69</v>
      </c>
      <c r="K9" s="145" t="s">
        <v>682</v>
      </c>
      <c r="L9" s="85"/>
      <c r="M9" s="85"/>
    </row>
    <row r="10" ht="35.25" customHeight="1">
      <c r="A10" s="92">
        <v>8.0</v>
      </c>
      <c r="B10" s="144">
        <v>46058.0</v>
      </c>
      <c r="C10" s="92" t="s">
        <v>822</v>
      </c>
      <c r="D10" s="92" t="s">
        <v>838</v>
      </c>
      <c r="E10" s="90" t="s">
        <v>682</v>
      </c>
      <c r="F10" s="145" t="s">
        <v>835</v>
      </c>
      <c r="G10" s="145" t="s">
        <v>836</v>
      </c>
      <c r="H10" s="145" t="s">
        <v>685</v>
      </c>
      <c r="I10" s="144">
        <v>46058.0</v>
      </c>
      <c r="J10" s="217" t="s">
        <v>69</v>
      </c>
      <c r="K10" s="145" t="s">
        <v>682</v>
      </c>
      <c r="L10" s="85"/>
      <c r="M10" s="85"/>
    </row>
    <row r="11" ht="57.0" customHeight="1">
      <c r="A11" s="92">
        <v>9.0</v>
      </c>
      <c r="B11" s="144">
        <v>46061.0</v>
      </c>
      <c r="C11" s="92" t="s">
        <v>822</v>
      </c>
      <c r="D11" s="92" t="s">
        <v>839</v>
      </c>
      <c r="E11" s="90" t="s">
        <v>682</v>
      </c>
      <c r="F11" s="145" t="s">
        <v>840</v>
      </c>
      <c r="G11" s="145" t="s">
        <v>841</v>
      </c>
      <c r="H11" s="145" t="s">
        <v>685</v>
      </c>
      <c r="I11" s="144">
        <v>46066.0</v>
      </c>
      <c r="J11" s="217" t="s">
        <v>69</v>
      </c>
      <c r="K11" s="145" t="s">
        <v>682</v>
      </c>
      <c r="L11" s="145"/>
      <c r="M11" s="145"/>
    </row>
    <row r="12" ht="13.5" customHeight="1">
      <c r="A12" s="92">
        <v>10.0</v>
      </c>
      <c r="B12" s="146">
        <v>46070.0</v>
      </c>
      <c r="C12" s="78" t="s">
        <v>822</v>
      </c>
      <c r="D12" s="78" t="s">
        <v>102</v>
      </c>
      <c r="E12" s="90" t="s">
        <v>682</v>
      </c>
      <c r="F12" s="78" t="s">
        <v>825</v>
      </c>
      <c r="G12" s="77" t="s">
        <v>842</v>
      </c>
      <c r="H12" s="77" t="s">
        <v>843</v>
      </c>
      <c r="I12" s="169">
        <v>46083.0</v>
      </c>
      <c r="J12" s="217" t="s">
        <v>69</v>
      </c>
      <c r="K12" s="77" t="s">
        <v>688</v>
      </c>
      <c r="L12" s="78"/>
      <c r="M12" s="78"/>
    </row>
    <row r="13" ht="13.5" customHeight="1">
      <c r="A13" s="92">
        <v>11.0</v>
      </c>
      <c r="B13" s="146">
        <v>46072.0</v>
      </c>
      <c r="C13" s="78" t="s">
        <v>822</v>
      </c>
      <c r="D13" s="78" t="s">
        <v>98</v>
      </c>
      <c r="E13" s="90" t="s">
        <v>682</v>
      </c>
      <c r="F13" s="78" t="s">
        <v>825</v>
      </c>
      <c r="G13" s="77" t="s">
        <v>842</v>
      </c>
      <c r="H13" s="77" t="s">
        <v>843</v>
      </c>
      <c r="I13" s="169">
        <v>46084.0</v>
      </c>
      <c r="J13" s="217" t="s">
        <v>69</v>
      </c>
      <c r="K13" s="77" t="s">
        <v>688</v>
      </c>
      <c r="L13" s="79"/>
      <c r="M13" s="79"/>
    </row>
    <row r="14" ht="13.5" customHeight="1">
      <c r="A14" s="92">
        <v>12.0</v>
      </c>
      <c r="B14" s="146">
        <v>46076.0</v>
      </c>
      <c r="C14" s="78" t="s">
        <v>822</v>
      </c>
      <c r="D14" s="78" t="s">
        <v>101</v>
      </c>
      <c r="E14" s="90" t="s">
        <v>682</v>
      </c>
      <c r="F14" s="78" t="s">
        <v>825</v>
      </c>
      <c r="G14" s="77" t="s">
        <v>842</v>
      </c>
      <c r="H14" s="77" t="s">
        <v>843</v>
      </c>
      <c r="I14" s="169">
        <v>46084.0</v>
      </c>
      <c r="J14" s="217" t="s">
        <v>69</v>
      </c>
      <c r="K14" s="77" t="s">
        <v>688</v>
      </c>
      <c r="L14" s="78"/>
      <c r="M14" s="78"/>
    </row>
    <row r="15" ht="13.5" customHeight="1">
      <c r="A15" s="92">
        <v>13.0</v>
      </c>
      <c r="B15" s="146">
        <v>46078.0</v>
      </c>
      <c r="C15" s="78" t="s">
        <v>822</v>
      </c>
      <c r="D15" s="78" t="s">
        <v>97</v>
      </c>
      <c r="E15" s="90" t="s">
        <v>682</v>
      </c>
      <c r="F15" s="78" t="s">
        <v>825</v>
      </c>
      <c r="G15" s="77" t="s">
        <v>842</v>
      </c>
      <c r="H15" s="77" t="s">
        <v>843</v>
      </c>
      <c r="I15" s="169">
        <v>46085.0</v>
      </c>
      <c r="J15" s="217" t="s">
        <v>69</v>
      </c>
      <c r="K15" s="77" t="s">
        <v>688</v>
      </c>
      <c r="M15" s="79"/>
    </row>
    <row r="16" ht="13.5" customHeight="1">
      <c r="A16" s="92">
        <v>14.0</v>
      </c>
      <c r="B16" s="146">
        <v>46080.0</v>
      </c>
      <c r="C16" s="78" t="s">
        <v>822</v>
      </c>
      <c r="D16" s="77" t="s">
        <v>102</v>
      </c>
      <c r="E16" s="90" t="s">
        <v>682</v>
      </c>
      <c r="F16" s="78" t="s">
        <v>825</v>
      </c>
      <c r="G16" s="77" t="s">
        <v>842</v>
      </c>
      <c r="H16" s="77" t="s">
        <v>843</v>
      </c>
      <c r="I16" s="169">
        <v>46083.0</v>
      </c>
      <c r="J16" s="217" t="s">
        <v>69</v>
      </c>
      <c r="K16" s="77" t="s">
        <v>688</v>
      </c>
      <c r="L16" s="79"/>
      <c r="M16" s="79"/>
    </row>
    <row r="17" ht="13.5" customHeight="1">
      <c r="A17" s="92">
        <v>15.0</v>
      </c>
      <c r="B17" s="146">
        <v>46086.0</v>
      </c>
      <c r="C17" s="78" t="s">
        <v>822</v>
      </c>
      <c r="D17" s="77" t="s">
        <v>100</v>
      </c>
      <c r="E17" s="90" t="s">
        <v>682</v>
      </c>
      <c r="F17" s="78" t="s">
        <v>825</v>
      </c>
      <c r="G17" s="77" t="s">
        <v>842</v>
      </c>
      <c r="H17" s="77" t="s">
        <v>843</v>
      </c>
      <c r="I17" s="169">
        <v>46088.0</v>
      </c>
      <c r="J17" s="217" t="s">
        <v>69</v>
      </c>
      <c r="K17" s="77" t="s">
        <v>688</v>
      </c>
      <c r="L17" s="79"/>
      <c r="M17" s="79"/>
    </row>
    <row r="18" ht="13.5" customHeight="1">
      <c r="A18" s="92">
        <v>16.0</v>
      </c>
      <c r="B18" s="146">
        <v>46089.0</v>
      </c>
      <c r="C18" s="78" t="s">
        <v>822</v>
      </c>
      <c r="D18" s="78" t="s">
        <v>101</v>
      </c>
      <c r="E18" s="90" t="s">
        <v>682</v>
      </c>
      <c r="F18" s="78" t="s">
        <v>825</v>
      </c>
      <c r="G18" s="77" t="s">
        <v>842</v>
      </c>
      <c r="H18" s="77" t="s">
        <v>843</v>
      </c>
      <c r="I18" s="169">
        <v>46091.0</v>
      </c>
      <c r="J18" s="217" t="s">
        <v>69</v>
      </c>
      <c r="K18" s="77" t="s">
        <v>688</v>
      </c>
      <c r="L18" s="79"/>
      <c r="M18" s="79"/>
    </row>
    <row r="19" ht="13.5" customHeight="1">
      <c r="A19" s="92">
        <v>17.0</v>
      </c>
      <c r="B19" s="169">
        <v>46093.0</v>
      </c>
      <c r="C19" s="78" t="s">
        <v>822</v>
      </c>
      <c r="D19" s="77" t="s">
        <v>102</v>
      </c>
      <c r="E19" s="90" t="s">
        <v>682</v>
      </c>
      <c r="F19" s="78" t="s">
        <v>825</v>
      </c>
      <c r="G19" s="78"/>
      <c r="H19" s="77" t="s">
        <v>843</v>
      </c>
      <c r="I19" s="146"/>
      <c r="J19" s="90"/>
      <c r="K19" s="78"/>
      <c r="L19" s="79"/>
      <c r="M19" s="79"/>
    </row>
    <row r="20" ht="13.5" customHeight="1">
      <c r="A20" s="92">
        <v>18.0</v>
      </c>
      <c r="B20" s="146"/>
      <c r="C20" s="78"/>
      <c r="D20" s="78"/>
      <c r="E20" s="78"/>
      <c r="F20" s="78"/>
      <c r="G20" s="78"/>
      <c r="H20" s="78"/>
      <c r="I20" s="146"/>
      <c r="J20" s="90"/>
      <c r="K20" s="78"/>
      <c r="L20" s="79"/>
      <c r="M20" s="79"/>
    </row>
    <row r="21" ht="13.5" customHeight="1">
      <c r="A21" s="92">
        <v>19.0</v>
      </c>
      <c r="B21" s="146"/>
      <c r="C21" s="78"/>
      <c r="D21" s="78"/>
      <c r="E21" s="78"/>
      <c r="F21" s="78"/>
      <c r="G21" s="78"/>
      <c r="H21" s="78"/>
      <c r="I21" s="146"/>
      <c r="J21" s="90"/>
      <c r="K21" s="78"/>
      <c r="L21" s="79"/>
      <c r="M21" s="79"/>
    </row>
    <row r="22" ht="13.5" customHeight="1">
      <c r="A22" s="92">
        <v>20.0</v>
      </c>
      <c r="B22" s="146"/>
      <c r="C22" s="78"/>
      <c r="D22" s="78"/>
      <c r="E22" s="78"/>
      <c r="F22" s="78"/>
      <c r="G22" s="78"/>
      <c r="H22" s="78"/>
      <c r="I22" s="146"/>
      <c r="J22" s="115"/>
      <c r="K22" s="220"/>
      <c r="L22" s="221"/>
      <c r="M22" s="221"/>
    </row>
    <row r="23" ht="13.5" customHeight="1">
      <c r="A23" s="92">
        <v>21.0</v>
      </c>
      <c r="B23" s="146"/>
      <c r="C23" s="78"/>
      <c r="D23" s="78"/>
      <c r="E23" s="78"/>
      <c r="F23" s="78"/>
      <c r="G23" s="78"/>
      <c r="H23" s="78"/>
      <c r="I23" s="222"/>
      <c r="J23" s="90"/>
      <c r="K23" s="78"/>
      <c r="L23" s="79"/>
      <c r="M23" s="79"/>
    </row>
    <row r="24" ht="13.5" customHeight="1">
      <c r="A24" s="92">
        <v>22.0</v>
      </c>
      <c r="B24" s="146"/>
      <c r="C24" s="78"/>
      <c r="D24" s="78"/>
      <c r="E24" s="78"/>
      <c r="F24" s="78"/>
      <c r="G24" s="78"/>
      <c r="H24" s="78"/>
      <c r="I24" s="222"/>
      <c r="J24" s="90"/>
      <c r="K24" s="78"/>
      <c r="L24" s="79"/>
      <c r="M24" s="79"/>
    </row>
    <row r="25" ht="13.5" customHeight="1">
      <c r="A25" s="92">
        <v>23.0</v>
      </c>
      <c r="B25" s="146"/>
      <c r="C25" s="78"/>
      <c r="D25" s="78"/>
      <c r="E25" s="78"/>
      <c r="F25" s="78"/>
      <c r="G25" s="78"/>
      <c r="H25" s="78"/>
      <c r="I25" s="222"/>
      <c r="J25" s="90"/>
      <c r="K25" s="78"/>
      <c r="L25" s="79"/>
      <c r="M25" s="79"/>
    </row>
    <row r="26" ht="13.5" customHeight="1">
      <c r="A26" s="92">
        <v>24.0</v>
      </c>
      <c r="B26" s="146"/>
      <c r="C26" s="78"/>
      <c r="D26" s="78"/>
      <c r="E26" s="78"/>
      <c r="F26" s="78"/>
      <c r="G26" s="78"/>
      <c r="H26" s="78"/>
      <c r="I26" s="222"/>
      <c r="J26" s="90"/>
      <c r="K26" s="78"/>
      <c r="L26" s="79"/>
      <c r="M26" s="79"/>
    </row>
    <row r="27" ht="13.5" customHeight="1">
      <c r="A27" s="92">
        <v>25.0</v>
      </c>
      <c r="B27" s="146"/>
      <c r="C27" s="78"/>
      <c r="D27" s="78"/>
      <c r="E27" s="78"/>
      <c r="F27" s="78"/>
      <c r="G27" s="78"/>
      <c r="H27" s="78"/>
      <c r="I27" s="222"/>
      <c r="J27" s="90"/>
      <c r="K27" s="78"/>
      <c r="L27" s="79"/>
      <c r="M27" s="79"/>
    </row>
    <row r="28" ht="13.5" customHeight="1">
      <c r="A28" s="92">
        <v>26.0</v>
      </c>
      <c r="B28" s="146"/>
      <c r="C28" s="78"/>
      <c r="D28" s="78"/>
      <c r="E28" s="78"/>
      <c r="F28" s="78"/>
      <c r="G28" s="78"/>
      <c r="H28" s="78"/>
      <c r="I28" s="222"/>
      <c r="J28" s="90"/>
      <c r="K28" s="78"/>
      <c r="L28" s="79"/>
      <c r="M28" s="79"/>
    </row>
    <row r="29" ht="13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ht="13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ht="13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ht="13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ht="13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ht="13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ht="13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ht="13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ht="13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ht="13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ht="13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ht="13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ht="13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ht="13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ht="13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 ht="13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ht="13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 ht="13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 ht="13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 ht="13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 ht="13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ht="13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ht="13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ht="13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ht="13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ht="13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 ht="13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ht="13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 ht="13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ht="13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 ht="13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ht="13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ht="13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 ht="13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ht="13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ht="13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ht="13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 ht="13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 ht="13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</row>
    <row r="68" ht="13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 ht="13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 ht="13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ht="13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</row>
    <row r="72" ht="13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ht="13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ht="13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ht="13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ht="13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ht="13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ht="13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ht="13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ht="13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  <row r="81" ht="13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 ht="13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 ht="13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 ht="13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 ht="13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</row>
    <row r="86" ht="13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</row>
    <row r="87" ht="13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</row>
    <row r="88" ht="13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 ht="13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</row>
    <row r="90" ht="13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 ht="13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</row>
    <row r="92" ht="13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</row>
    <row r="93" ht="13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ht="13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 ht="13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 ht="13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  <row r="97" ht="13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</row>
    <row r="98" ht="13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</row>
    <row r="99" ht="13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</row>
    <row r="100" ht="13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</row>
    <row r="101" ht="13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</row>
    <row r="102" ht="13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</row>
    <row r="103" ht="13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</row>
    <row r="104" ht="13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</row>
    <row r="105" ht="13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</row>
    <row r="106" ht="13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</row>
    <row r="107" ht="13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</row>
    <row r="108" ht="13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</row>
    <row r="109" ht="13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</row>
    <row r="110" ht="13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</row>
    <row r="111" ht="13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ht="13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</row>
    <row r="113" ht="13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 ht="13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</row>
    <row r="115" ht="13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</row>
    <row r="116" ht="13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</row>
    <row r="117" ht="13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ht="13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</row>
    <row r="119" ht="13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</row>
    <row r="120" ht="13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</row>
    <row r="121" ht="13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</row>
    <row r="122" ht="13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</row>
    <row r="123" ht="13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</row>
    <row r="124" ht="13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</row>
    <row r="125" ht="13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</row>
    <row r="126" ht="13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</row>
    <row r="127" ht="13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</row>
    <row r="128" ht="13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ht="13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</row>
    <row r="130" ht="13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</row>
    <row r="131" ht="13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</row>
    <row r="132" ht="13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</row>
    <row r="133" ht="13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ht="13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</row>
    <row r="135" ht="13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</row>
    <row r="136" ht="13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</row>
    <row r="137" ht="13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</row>
    <row r="138" ht="13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</row>
    <row r="139" ht="13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</row>
    <row r="140" ht="13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</row>
    <row r="141" ht="13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</row>
    <row r="142" ht="13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</row>
    <row r="143" ht="13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</row>
    <row r="144" ht="13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</row>
    <row r="145" ht="13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</row>
    <row r="146" ht="13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</row>
    <row r="147" ht="13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</row>
    <row r="148" ht="13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</row>
    <row r="149" ht="13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</row>
    <row r="150" ht="13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</row>
    <row r="151" ht="13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</row>
    <row r="152" ht="13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</row>
    <row r="153" ht="13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</row>
    <row r="154" ht="13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</row>
    <row r="155" ht="13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</row>
    <row r="156" ht="13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</row>
    <row r="157" ht="13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</row>
    <row r="158" ht="13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</row>
    <row r="159" ht="13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</row>
    <row r="160" ht="13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</row>
    <row r="161" ht="13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</row>
    <row r="162" ht="13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</row>
    <row r="163" ht="13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</row>
    <row r="164" ht="13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</row>
    <row r="165" ht="13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</row>
    <row r="166" ht="13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</row>
    <row r="167" ht="13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</row>
    <row r="168" ht="13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</row>
    <row r="169" ht="13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</row>
    <row r="170" ht="13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</row>
    <row r="171" ht="13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</row>
    <row r="172" ht="13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</row>
    <row r="173" ht="13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</row>
    <row r="174" ht="13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</row>
    <row r="175" ht="13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</row>
    <row r="176" ht="13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</row>
    <row r="177" ht="13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</row>
    <row r="178" ht="13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</row>
    <row r="179" ht="13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</row>
    <row r="180" ht="13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</row>
    <row r="181" ht="13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</row>
    <row r="182" ht="13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</row>
    <row r="183" ht="13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</row>
    <row r="184" ht="13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</row>
    <row r="185" ht="13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</row>
    <row r="186" ht="13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</row>
    <row r="187" ht="13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</row>
    <row r="188" ht="13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</row>
    <row r="189" ht="13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</row>
    <row r="190" ht="13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</row>
    <row r="191" ht="13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</row>
    <row r="192" ht="13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</row>
    <row r="193" ht="13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</row>
    <row r="194" ht="13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</row>
    <row r="195" ht="13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</row>
    <row r="196" ht="13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</row>
    <row r="197" ht="13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</row>
    <row r="198" ht="13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</row>
    <row r="199" ht="13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</row>
    <row r="200" ht="13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</row>
    <row r="201" ht="13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</row>
    <row r="202" ht="13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</row>
    <row r="203" ht="13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</row>
    <row r="204" ht="13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</row>
    <row r="205" ht="13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</row>
    <row r="206" ht="13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</row>
    <row r="207" ht="13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</row>
    <row r="208" ht="13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</row>
    <row r="209" ht="13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</row>
    <row r="210" ht="13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</row>
    <row r="211" ht="13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 ht="13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</row>
    <row r="213" ht="13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</row>
    <row r="214" ht="13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</row>
    <row r="215" ht="13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</row>
    <row r="216" ht="13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</row>
    <row r="217" ht="13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</row>
    <row r="218" ht="13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 ht="13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</row>
    <row r="220" ht="13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</row>
    <row r="221" ht="13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</row>
    <row r="222" ht="13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</row>
    <row r="223" ht="13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</row>
    <row r="224" ht="13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 ht="13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</row>
    <row r="226" ht="13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</row>
    <row r="227" ht="13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</row>
    <row r="228" ht="13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2.38"/>
    <col customWidth="1" min="3" max="3" width="25.25"/>
    <col customWidth="1" min="4" max="4" width="38.13"/>
    <col customWidth="1" min="5" max="5" width="15.13"/>
    <col customWidth="1" min="6" max="6" width="18.75"/>
    <col customWidth="1" min="7" max="7" width="11.13"/>
    <col customWidth="1" min="8" max="11" width="12.75"/>
    <col customWidth="1" min="12" max="26" width="14.38"/>
  </cols>
  <sheetData>
    <row r="1" ht="13.5" customHeight="1">
      <c r="A1" s="214" t="s">
        <v>287</v>
      </c>
      <c r="B1" s="214" t="s">
        <v>817</v>
      </c>
      <c r="C1" s="214" t="s">
        <v>675</v>
      </c>
      <c r="D1" s="214" t="s">
        <v>406</v>
      </c>
      <c r="E1" s="214" t="s">
        <v>291</v>
      </c>
      <c r="F1" s="214" t="s">
        <v>844</v>
      </c>
      <c r="G1" s="214" t="s">
        <v>122</v>
      </c>
      <c r="H1" s="21"/>
      <c r="I1" s="21"/>
      <c r="J1" s="21"/>
      <c r="K1" s="21"/>
    </row>
    <row r="2" ht="13.5" customHeight="1">
      <c r="A2" s="90">
        <v>1.0</v>
      </c>
      <c r="B2" s="90" t="s">
        <v>822</v>
      </c>
      <c r="C2" s="90" t="s">
        <v>845</v>
      </c>
      <c r="D2" s="90" t="s">
        <v>846</v>
      </c>
      <c r="E2" s="90"/>
      <c r="F2" s="90"/>
      <c r="G2" s="230" t="s">
        <v>286</v>
      </c>
      <c r="H2" s="21"/>
      <c r="I2" s="21"/>
      <c r="J2" s="21"/>
      <c r="K2" s="21"/>
    </row>
    <row r="3" ht="13.5" customHeight="1">
      <c r="A3" s="90">
        <v>2.0</v>
      </c>
      <c r="B3" s="90" t="s">
        <v>822</v>
      </c>
      <c r="C3" s="90" t="s">
        <v>847</v>
      </c>
      <c r="D3" s="90" t="s">
        <v>846</v>
      </c>
      <c r="E3" s="90"/>
      <c r="F3" s="90"/>
      <c r="G3" s="230" t="s">
        <v>286</v>
      </c>
      <c r="H3" s="21"/>
      <c r="I3" s="21"/>
      <c r="J3" s="21"/>
      <c r="K3" s="21"/>
    </row>
    <row r="4" ht="13.5" customHeight="1">
      <c r="A4" s="90">
        <v>3.0</v>
      </c>
      <c r="B4" s="90" t="s">
        <v>822</v>
      </c>
      <c r="C4" s="90" t="s">
        <v>848</v>
      </c>
      <c r="D4" s="90" t="s">
        <v>846</v>
      </c>
      <c r="E4" s="90"/>
      <c r="F4" s="90"/>
      <c r="G4" s="230" t="s">
        <v>286</v>
      </c>
      <c r="H4" s="21"/>
      <c r="I4" s="21"/>
      <c r="J4" s="21"/>
      <c r="K4" s="21"/>
    </row>
    <row r="5" ht="13.5" customHeight="1">
      <c r="A5" s="90">
        <v>4.0</v>
      </c>
      <c r="B5" s="90" t="s">
        <v>822</v>
      </c>
      <c r="C5" s="90" t="s">
        <v>849</v>
      </c>
      <c r="D5" s="90" t="s">
        <v>846</v>
      </c>
      <c r="E5" s="90"/>
      <c r="F5" s="90"/>
      <c r="G5" s="230" t="s">
        <v>286</v>
      </c>
      <c r="H5" s="21"/>
      <c r="I5" s="21"/>
      <c r="J5" s="21"/>
      <c r="K5" s="21"/>
    </row>
    <row r="6" ht="13.5" customHeight="1">
      <c r="A6" s="90">
        <v>5.0</v>
      </c>
      <c r="B6" s="90" t="s">
        <v>822</v>
      </c>
      <c r="C6" s="90" t="s">
        <v>850</v>
      </c>
      <c r="D6" s="90" t="s">
        <v>846</v>
      </c>
      <c r="E6" s="90"/>
      <c r="F6" s="90"/>
      <c r="G6" s="230" t="s">
        <v>286</v>
      </c>
      <c r="H6" s="21"/>
      <c r="I6" s="21"/>
      <c r="J6" s="21"/>
      <c r="K6" s="21"/>
    </row>
    <row r="7" ht="13.5" customHeight="1">
      <c r="A7" s="90">
        <v>6.0</v>
      </c>
      <c r="B7" s="90" t="s">
        <v>822</v>
      </c>
      <c r="C7" s="90" t="s">
        <v>851</v>
      </c>
      <c r="D7" s="90" t="s">
        <v>846</v>
      </c>
      <c r="E7" s="90"/>
      <c r="F7" s="90"/>
      <c r="G7" s="230" t="s">
        <v>286</v>
      </c>
      <c r="H7" s="21"/>
      <c r="I7" s="21"/>
      <c r="J7" s="21"/>
      <c r="K7" s="21"/>
    </row>
    <row r="8" ht="13.5" customHeight="1">
      <c r="A8" s="90">
        <v>7.0</v>
      </c>
      <c r="B8" s="90" t="s">
        <v>822</v>
      </c>
      <c r="C8" s="90" t="s">
        <v>852</v>
      </c>
      <c r="D8" s="90" t="s">
        <v>846</v>
      </c>
      <c r="E8" s="90"/>
      <c r="F8" s="90"/>
      <c r="G8" s="230" t="s">
        <v>286</v>
      </c>
      <c r="H8" s="21"/>
      <c r="I8" s="21"/>
      <c r="J8" s="21"/>
      <c r="K8" s="21"/>
    </row>
    <row r="9" ht="13.5" customHeight="1">
      <c r="A9" s="90">
        <v>8.0</v>
      </c>
      <c r="B9" s="90" t="s">
        <v>822</v>
      </c>
      <c r="C9" s="90" t="s">
        <v>853</v>
      </c>
      <c r="D9" s="90" t="s">
        <v>846</v>
      </c>
      <c r="E9" s="90"/>
      <c r="F9" s="90"/>
      <c r="G9" s="230" t="s">
        <v>286</v>
      </c>
      <c r="H9" s="21"/>
      <c r="I9" s="21"/>
      <c r="J9" s="21"/>
      <c r="K9" s="21"/>
    </row>
    <row r="10" ht="14.25" customHeight="1">
      <c r="A10" s="90">
        <v>9.0</v>
      </c>
      <c r="B10" s="90" t="s">
        <v>854</v>
      </c>
      <c r="C10" s="93" t="s">
        <v>855</v>
      </c>
      <c r="D10" s="90" t="s">
        <v>856</v>
      </c>
      <c r="E10" s="90"/>
      <c r="F10" s="90"/>
      <c r="G10" s="230" t="s">
        <v>286</v>
      </c>
      <c r="H10" s="21"/>
      <c r="I10" s="21"/>
      <c r="J10" s="21"/>
      <c r="K10" s="21"/>
    </row>
    <row r="11" ht="13.5" customHeight="1">
      <c r="A11" s="90">
        <v>10.0</v>
      </c>
      <c r="B11" s="93" t="s">
        <v>857</v>
      </c>
      <c r="C11" s="90" t="s">
        <v>858</v>
      </c>
      <c r="D11" s="93" t="s">
        <v>859</v>
      </c>
      <c r="E11" s="90"/>
      <c r="F11" s="90"/>
      <c r="G11" s="230" t="s">
        <v>286</v>
      </c>
      <c r="H11" s="21"/>
      <c r="I11" s="21"/>
      <c r="J11" s="21"/>
      <c r="K11" s="21"/>
    </row>
    <row r="12" ht="13.5" customHeight="1">
      <c r="A12" s="90">
        <v>11.0</v>
      </c>
      <c r="B12" s="93" t="s">
        <v>857</v>
      </c>
      <c r="C12" s="90" t="s">
        <v>860</v>
      </c>
      <c r="D12" s="93" t="s">
        <v>859</v>
      </c>
      <c r="E12" s="90"/>
      <c r="F12" s="90"/>
      <c r="G12" s="230" t="s">
        <v>286</v>
      </c>
      <c r="H12" s="21"/>
      <c r="I12" s="21"/>
      <c r="J12" s="21"/>
      <c r="K12" s="21"/>
    </row>
    <row r="13" ht="13.5" customHeight="1">
      <c r="A13" s="90">
        <v>12.0</v>
      </c>
      <c r="B13" s="90" t="s">
        <v>861</v>
      </c>
      <c r="C13" s="90" t="s">
        <v>862</v>
      </c>
      <c r="D13" s="90" t="s">
        <v>863</v>
      </c>
      <c r="E13" s="90"/>
      <c r="F13" s="90"/>
      <c r="G13" s="230" t="s">
        <v>286</v>
      </c>
      <c r="H13" s="21"/>
      <c r="I13" s="21"/>
      <c r="J13" s="21"/>
      <c r="K13" s="21"/>
    </row>
    <row r="14" ht="13.5" customHeight="1">
      <c r="A14" s="90">
        <v>13.0</v>
      </c>
      <c r="B14" s="90" t="s">
        <v>861</v>
      </c>
      <c r="C14" s="90" t="s">
        <v>864</v>
      </c>
      <c r="D14" s="90" t="s">
        <v>863</v>
      </c>
      <c r="E14" s="90"/>
      <c r="F14" s="90"/>
      <c r="G14" s="230" t="s">
        <v>286</v>
      </c>
      <c r="H14" s="21"/>
      <c r="I14" s="21"/>
      <c r="J14" s="21"/>
      <c r="K14" s="21"/>
    </row>
    <row r="15" ht="13.5" customHeight="1">
      <c r="A15" s="90">
        <v>14.0</v>
      </c>
      <c r="B15" s="90" t="s">
        <v>861</v>
      </c>
      <c r="C15" s="90" t="s">
        <v>865</v>
      </c>
      <c r="D15" s="90" t="s">
        <v>863</v>
      </c>
      <c r="E15" s="90"/>
      <c r="F15" s="90"/>
      <c r="G15" s="230" t="s">
        <v>286</v>
      </c>
      <c r="H15" s="21"/>
      <c r="I15" s="21"/>
      <c r="J15" s="21"/>
      <c r="K15" s="21"/>
    </row>
    <row r="16" ht="13.5" customHeight="1">
      <c r="A16" s="90">
        <v>15.0</v>
      </c>
      <c r="B16" s="90" t="s">
        <v>861</v>
      </c>
      <c r="C16" s="90" t="s">
        <v>866</v>
      </c>
      <c r="D16" s="90" t="s">
        <v>863</v>
      </c>
      <c r="E16" s="90"/>
      <c r="F16" s="90"/>
      <c r="G16" s="230" t="s">
        <v>286</v>
      </c>
      <c r="H16" s="21"/>
      <c r="I16" s="21"/>
      <c r="J16" s="21"/>
      <c r="K16" s="21"/>
    </row>
    <row r="17" ht="13.5" customHeight="1">
      <c r="A17" s="90">
        <v>16.0</v>
      </c>
      <c r="B17" s="90" t="s">
        <v>861</v>
      </c>
      <c r="C17" s="90" t="s">
        <v>867</v>
      </c>
      <c r="D17" s="90" t="s">
        <v>863</v>
      </c>
      <c r="E17" s="90"/>
      <c r="F17" s="90"/>
      <c r="G17" s="230" t="s">
        <v>286</v>
      </c>
      <c r="H17" s="21"/>
      <c r="I17" s="21"/>
      <c r="J17" s="21"/>
      <c r="K17" s="21"/>
    </row>
    <row r="18" ht="13.5" customHeight="1">
      <c r="A18" s="90">
        <v>17.0</v>
      </c>
      <c r="B18" s="90" t="s">
        <v>861</v>
      </c>
      <c r="C18" s="90" t="s">
        <v>868</v>
      </c>
      <c r="D18" s="90" t="s">
        <v>863</v>
      </c>
      <c r="E18" s="90"/>
      <c r="F18" s="90"/>
      <c r="G18" s="230" t="s">
        <v>286</v>
      </c>
      <c r="H18" s="21"/>
      <c r="I18" s="21"/>
      <c r="J18" s="21"/>
      <c r="K18" s="21"/>
    </row>
    <row r="19" ht="13.5" customHeight="1">
      <c r="A19" s="90">
        <v>18.0</v>
      </c>
      <c r="B19" s="90" t="s">
        <v>861</v>
      </c>
      <c r="C19" s="90" t="s">
        <v>98</v>
      </c>
      <c r="D19" s="90" t="s">
        <v>863</v>
      </c>
      <c r="E19" s="90"/>
      <c r="F19" s="90"/>
      <c r="G19" s="230" t="s">
        <v>286</v>
      </c>
      <c r="H19" s="21"/>
      <c r="I19" s="21"/>
      <c r="J19" s="21"/>
      <c r="K19" s="21"/>
    </row>
    <row r="20" ht="13.5" customHeight="1">
      <c r="A20" s="90">
        <v>19.0</v>
      </c>
      <c r="B20" s="90" t="s">
        <v>861</v>
      </c>
      <c r="C20" s="90" t="s">
        <v>867</v>
      </c>
      <c r="D20" s="90" t="s">
        <v>863</v>
      </c>
      <c r="E20" s="90"/>
      <c r="F20" s="90"/>
      <c r="G20" s="230" t="s">
        <v>286</v>
      </c>
      <c r="H20" s="21"/>
      <c r="I20" s="21"/>
      <c r="J20" s="21"/>
      <c r="K20" s="21"/>
    </row>
    <row r="21" ht="13.5" customHeight="1">
      <c r="A21" s="90">
        <v>20.0</v>
      </c>
      <c r="B21" s="90" t="s">
        <v>861</v>
      </c>
      <c r="C21" s="90" t="s">
        <v>869</v>
      </c>
      <c r="D21" s="90" t="s">
        <v>863</v>
      </c>
      <c r="E21" s="90"/>
      <c r="F21" s="90"/>
      <c r="G21" s="230" t="s">
        <v>286</v>
      </c>
      <c r="H21" s="21"/>
      <c r="I21" s="21"/>
      <c r="J21" s="21"/>
      <c r="K21" s="21"/>
    </row>
    <row r="22" ht="13.5" customHeight="1">
      <c r="A22" s="90">
        <v>21.0</v>
      </c>
      <c r="B22" s="90" t="s">
        <v>141</v>
      </c>
      <c r="C22" s="90" t="s">
        <v>870</v>
      </c>
      <c r="D22" s="90" t="s">
        <v>871</v>
      </c>
      <c r="E22" s="78" t="s">
        <v>314</v>
      </c>
      <c r="F22" s="146">
        <v>46063.0</v>
      </c>
      <c r="G22" s="92" t="s">
        <v>872</v>
      </c>
      <c r="H22" s="21"/>
      <c r="I22" s="21"/>
      <c r="J22" s="21"/>
      <c r="K22" s="21"/>
    </row>
    <row r="23" ht="13.5" customHeight="1">
      <c r="A23" s="115">
        <v>22.0</v>
      </c>
      <c r="B23" s="115" t="s">
        <v>873</v>
      </c>
      <c r="C23" s="233" t="s">
        <v>874</v>
      </c>
      <c r="D23" s="115" t="s">
        <v>875</v>
      </c>
      <c r="E23" s="221"/>
      <c r="F23" s="221"/>
      <c r="G23" s="234" t="s">
        <v>286</v>
      </c>
      <c r="H23" s="21"/>
      <c r="I23" s="21"/>
      <c r="J23" s="21"/>
      <c r="K23" s="21"/>
    </row>
    <row r="24" ht="13.5" customHeight="1">
      <c r="A24" s="90">
        <v>23.0</v>
      </c>
      <c r="B24" s="90" t="s">
        <v>876</v>
      </c>
      <c r="C24" s="90" t="s">
        <v>877</v>
      </c>
      <c r="D24" s="90" t="s">
        <v>878</v>
      </c>
      <c r="E24" s="78" t="s">
        <v>285</v>
      </c>
      <c r="F24" s="146">
        <v>46012.0</v>
      </c>
      <c r="G24" s="92" t="s">
        <v>872</v>
      </c>
      <c r="H24" s="21"/>
      <c r="I24" s="21"/>
      <c r="J24" s="21"/>
      <c r="K24" s="21"/>
    </row>
    <row r="25" ht="13.5" customHeight="1">
      <c r="A25" s="90">
        <v>24.0</v>
      </c>
      <c r="B25" s="90" t="s">
        <v>167</v>
      </c>
      <c r="C25" s="92" t="s">
        <v>879</v>
      </c>
      <c r="D25" s="78" t="s">
        <v>880</v>
      </c>
      <c r="E25" s="78" t="s">
        <v>285</v>
      </c>
      <c r="F25" s="146">
        <v>46027.0</v>
      </c>
      <c r="G25" s="92" t="s">
        <v>872</v>
      </c>
      <c r="H25" s="21"/>
      <c r="I25" s="21"/>
      <c r="J25" s="21"/>
      <c r="K25" s="21"/>
    </row>
    <row r="26" ht="13.5" customHeight="1">
      <c r="A26" s="92">
        <v>25.0</v>
      </c>
      <c r="B26" s="78" t="s">
        <v>141</v>
      </c>
      <c r="C26" s="78" t="s">
        <v>881</v>
      </c>
      <c r="D26" s="78" t="s">
        <v>882</v>
      </c>
      <c r="E26" s="78" t="s">
        <v>883</v>
      </c>
      <c r="F26" s="146">
        <v>46013.0</v>
      </c>
      <c r="G26" s="92" t="s">
        <v>872</v>
      </c>
      <c r="H26" s="21"/>
      <c r="I26" s="21"/>
      <c r="J26" s="21"/>
      <c r="K26" s="21"/>
    </row>
    <row r="27" ht="13.5" customHeight="1">
      <c r="A27" s="78">
        <v>26.0</v>
      </c>
      <c r="B27" s="78" t="s">
        <v>153</v>
      </c>
      <c r="C27" s="92" t="s">
        <v>879</v>
      </c>
      <c r="D27" s="78" t="s">
        <v>880</v>
      </c>
      <c r="E27" s="78" t="s">
        <v>285</v>
      </c>
      <c r="F27" s="146">
        <v>46027.0</v>
      </c>
      <c r="G27" s="92" t="s">
        <v>872</v>
      </c>
      <c r="H27" s="21"/>
      <c r="I27" s="21"/>
      <c r="J27" s="21"/>
      <c r="K27" s="21"/>
    </row>
    <row r="28" ht="13.5" customHeight="1">
      <c r="A28" s="78">
        <v>27.0</v>
      </c>
      <c r="B28" s="78" t="s">
        <v>217</v>
      </c>
      <c r="C28" s="92" t="s">
        <v>879</v>
      </c>
      <c r="D28" s="78" t="s">
        <v>880</v>
      </c>
      <c r="E28" s="78" t="s">
        <v>285</v>
      </c>
      <c r="F28" s="146">
        <v>46027.0</v>
      </c>
      <c r="G28" s="92" t="s">
        <v>872</v>
      </c>
      <c r="H28" s="21"/>
      <c r="I28" s="21"/>
      <c r="J28" s="21"/>
      <c r="K28" s="21"/>
    </row>
    <row r="29" ht="13.5" customHeight="1">
      <c r="A29" s="78">
        <v>28.0</v>
      </c>
      <c r="B29" s="78" t="s">
        <v>141</v>
      </c>
      <c r="C29" s="78" t="s">
        <v>884</v>
      </c>
      <c r="D29" s="78" t="s">
        <v>885</v>
      </c>
      <c r="E29" s="78" t="s">
        <v>285</v>
      </c>
      <c r="F29" s="146">
        <v>46029.0</v>
      </c>
      <c r="G29" s="92" t="s">
        <v>872</v>
      </c>
      <c r="H29" s="21"/>
      <c r="I29" s="21"/>
      <c r="J29" s="21"/>
      <c r="K29" s="21"/>
    </row>
    <row r="30" ht="13.5" customHeight="1">
      <c r="A30" s="78">
        <v>29.0</v>
      </c>
      <c r="B30" s="78" t="s">
        <v>886</v>
      </c>
      <c r="C30" s="78" t="s">
        <v>884</v>
      </c>
      <c r="D30" s="78" t="s">
        <v>887</v>
      </c>
      <c r="E30" s="78" t="s">
        <v>285</v>
      </c>
      <c r="F30" s="146">
        <v>46055.0</v>
      </c>
      <c r="G30" s="92" t="s">
        <v>872</v>
      </c>
      <c r="H30" s="21"/>
      <c r="I30" s="21"/>
      <c r="J30" s="21"/>
      <c r="K30" s="21"/>
    </row>
    <row r="31" ht="34.5" customHeight="1">
      <c r="A31" s="92">
        <v>30.0</v>
      </c>
      <c r="B31" s="92" t="s">
        <v>888</v>
      </c>
      <c r="C31" s="92" t="s">
        <v>889</v>
      </c>
      <c r="D31" s="145" t="s">
        <v>890</v>
      </c>
      <c r="E31" s="90" t="s">
        <v>285</v>
      </c>
      <c r="F31" s="139">
        <v>46053.0</v>
      </c>
      <c r="G31" s="92" t="s">
        <v>872</v>
      </c>
      <c r="H31" s="21"/>
      <c r="I31" s="21"/>
      <c r="J31" s="21"/>
      <c r="K31" s="21"/>
    </row>
    <row r="32" ht="13.5" customHeight="1">
      <c r="A32" s="78">
        <v>31.0</v>
      </c>
      <c r="B32" s="78" t="s">
        <v>141</v>
      </c>
      <c r="C32" s="78" t="s">
        <v>891</v>
      </c>
      <c r="D32" s="78" t="s">
        <v>892</v>
      </c>
      <c r="E32" s="85"/>
      <c r="F32" s="85"/>
      <c r="G32" s="230" t="s">
        <v>286</v>
      </c>
      <c r="H32" s="21"/>
      <c r="I32" s="21"/>
      <c r="J32" s="21"/>
      <c r="K32" s="21"/>
    </row>
    <row r="33" ht="13.5" customHeight="1">
      <c r="A33" s="78">
        <v>32.0</v>
      </c>
      <c r="B33" s="78" t="s">
        <v>893</v>
      </c>
      <c r="C33" s="78" t="s">
        <v>894</v>
      </c>
      <c r="D33" s="78" t="s">
        <v>895</v>
      </c>
      <c r="E33" s="78" t="s">
        <v>314</v>
      </c>
      <c r="F33" s="146">
        <v>46030.0</v>
      </c>
      <c r="G33" s="92" t="s">
        <v>872</v>
      </c>
      <c r="H33" s="21"/>
      <c r="I33" s="21"/>
      <c r="J33" s="21"/>
      <c r="K33" s="21"/>
    </row>
    <row r="34" ht="13.5" customHeight="1">
      <c r="A34" s="78">
        <v>33.0</v>
      </c>
      <c r="B34" s="78" t="s">
        <v>896</v>
      </c>
      <c r="C34" s="78" t="s">
        <v>897</v>
      </c>
      <c r="D34" s="78" t="s">
        <v>898</v>
      </c>
      <c r="E34" s="78" t="s">
        <v>285</v>
      </c>
      <c r="F34" s="146">
        <v>46078.0</v>
      </c>
      <c r="G34" s="92" t="s">
        <v>872</v>
      </c>
      <c r="H34" s="21"/>
      <c r="I34" s="21"/>
      <c r="J34" s="21"/>
      <c r="K34" s="21"/>
    </row>
    <row r="35" ht="13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ht="13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ht="13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ht="13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ht="13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ht="13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 ht="13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</row>
    <row r="42" ht="13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ht="13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ht="13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ht="13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ht="13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ht="13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ht="13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ht="13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ht="13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ht="13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ht="13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ht="13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ht="13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ht="13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ht="13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ht="13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ht="13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ht="13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ht="13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ht="13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</row>
    <row r="62" ht="13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ht="13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ht="13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ht="13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</row>
    <row r="66" ht="13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 ht="13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</row>
    <row r="68" ht="13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</row>
    <row r="69" ht="13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</row>
    <row r="70" ht="13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 ht="13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ht="13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ht="13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ht="13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ht="13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ht="13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ht="13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ht="13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ht="13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</row>
    <row r="80" ht="13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</row>
    <row r="81" ht="13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 ht="13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</row>
    <row r="83" ht="13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 ht="13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</row>
    <row r="85" ht="13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</row>
    <row r="86" ht="13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</row>
    <row r="87" ht="13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</row>
    <row r="88" ht="13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</row>
    <row r="89" ht="13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</row>
    <row r="90" ht="13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</row>
    <row r="91" ht="13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</row>
    <row r="92" ht="13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</row>
    <row r="93" ht="13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</row>
    <row r="94" ht="13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</row>
    <row r="95" ht="13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</row>
    <row r="96" ht="13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</row>
    <row r="97" ht="13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</row>
    <row r="98" ht="13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</row>
    <row r="99" ht="13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</row>
    <row r="100" ht="13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</row>
    <row r="101" ht="13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</row>
    <row r="102" ht="13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</row>
    <row r="103" ht="13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</row>
    <row r="104" ht="13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</row>
    <row r="105" ht="13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</row>
    <row r="106" ht="13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</row>
    <row r="107" ht="13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</row>
    <row r="108" ht="13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</row>
    <row r="109" ht="13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</row>
    <row r="110" ht="13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</row>
    <row r="111" ht="13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</row>
    <row r="112" ht="13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</row>
    <row r="113" ht="13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</row>
    <row r="114" ht="13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</row>
    <row r="115" ht="13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</row>
    <row r="116" ht="13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</row>
    <row r="117" ht="13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</row>
    <row r="118" ht="13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</row>
    <row r="119" ht="13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</row>
    <row r="120" ht="13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</row>
    <row r="121" ht="13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</row>
    <row r="122" ht="13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</row>
    <row r="123" ht="13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</row>
    <row r="124" ht="13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</row>
    <row r="125" ht="13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</row>
    <row r="126" ht="13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</row>
    <row r="127" ht="13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</row>
    <row r="128" ht="13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</row>
    <row r="129" ht="13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</row>
    <row r="130" ht="13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</row>
    <row r="131" ht="13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ht="13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</row>
    <row r="133" ht="13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</row>
    <row r="134" ht="13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</row>
    <row r="135" ht="13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</row>
    <row r="136" ht="13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</row>
    <row r="137" ht="13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</row>
    <row r="138" ht="13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</row>
    <row r="139" ht="13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</row>
    <row r="140" ht="13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</row>
    <row r="141" ht="13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</row>
    <row r="142" ht="13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</row>
    <row r="143" ht="13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</row>
    <row r="144" ht="13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</row>
    <row r="145" ht="13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</row>
    <row r="146" ht="13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</row>
    <row r="147" ht="13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</row>
    <row r="148" ht="13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</row>
    <row r="149" ht="13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</row>
    <row r="150" ht="13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</row>
    <row r="151" ht="13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</row>
    <row r="152" ht="13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</row>
    <row r="153" ht="13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</row>
    <row r="154" ht="13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</row>
    <row r="155" ht="13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</row>
    <row r="156" ht="13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</row>
    <row r="157" ht="13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</row>
    <row r="158" ht="13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</row>
    <row r="159" ht="13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</row>
    <row r="160" ht="13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</row>
    <row r="161" ht="13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</row>
    <row r="162" ht="13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</row>
    <row r="163" ht="13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</row>
    <row r="164" ht="13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</row>
    <row r="165" ht="13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</row>
    <row r="166" ht="13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</row>
    <row r="167" ht="13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</row>
    <row r="168" ht="13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</row>
    <row r="169" ht="13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</row>
    <row r="170" ht="13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</row>
    <row r="171" ht="13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</row>
    <row r="172" ht="13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</row>
    <row r="173" ht="13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</row>
    <row r="174" ht="13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</row>
    <row r="175" ht="13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</row>
    <row r="176" ht="13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</row>
    <row r="177" ht="13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</row>
    <row r="178" ht="13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</row>
    <row r="179" ht="13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</row>
    <row r="180" ht="13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</row>
    <row r="181" ht="13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</row>
    <row r="182" ht="13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</row>
    <row r="183" ht="13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</row>
    <row r="184" ht="13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</row>
    <row r="185" ht="13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</row>
    <row r="186" ht="13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</row>
    <row r="187" ht="13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</row>
    <row r="188" ht="13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</row>
    <row r="189" ht="13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</row>
    <row r="190" ht="13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</row>
    <row r="191" ht="13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</row>
    <row r="192" ht="13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</row>
    <row r="193" ht="13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</row>
    <row r="194" ht="13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</row>
    <row r="195" ht="13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</row>
    <row r="196" ht="13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</row>
    <row r="197" ht="13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</row>
    <row r="198" ht="13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</row>
    <row r="199" ht="13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</row>
    <row r="200" ht="13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</row>
    <row r="201" ht="13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</row>
    <row r="202" ht="13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</row>
    <row r="203" ht="13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</row>
    <row r="204" ht="13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</row>
    <row r="205" ht="13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</row>
    <row r="206" ht="13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</row>
    <row r="207" ht="13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</row>
    <row r="208" ht="13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</row>
    <row r="209" ht="13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</row>
    <row r="210" ht="13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</row>
    <row r="211" ht="13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</row>
    <row r="212" ht="13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</row>
    <row r="213" ht="13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</row>
    <row r="214" ht="13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</row>
    <row r="215" ht="13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</row>
    <row r="216" ht="13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</row>
    <row r="217" ht="13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</row>
    <row r="218" ht="13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</row>
    <row r="219" ht="13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</row>
    <row r="220" ht="13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</row>
    <row r="221" ht="13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</row>
    <row r="222" ht="13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</row>
    <row r="223" ht="13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</row>
    <row r="224" ht="13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1:G234">
    <cfRule type="containsText" dxfId="5" priority="1" operator="containsText" text="DONE">
      <formula>NOT(ISERROR(SEARCH(("DONE"),(G1))))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75"/>
    <col customWidth="1" min="2" max="2" width="9.38"/>
    <col customWidth="1" min="3" max="3" width="7.38"/>
    <col customWidth="1" min="4" max="4" width="26.75"/>
    <col customWidth="1" min="5" max="5" width="14.25"/>
    <col customWidth="1" min="6" max="6" width="21.38"/>
    <col customWidth="1" min="7" max="7" width="11.38"/>
    <col customWidth="1" min="8" max="8" width="18.75"/>
    <col customWidth="1" min="9" max="9" width="8.75"/>
    <col customWidth="1" min="10" max="10" width="10.75"/>
    <col customWidth="1" hidden="1" min="11" max="12" width="8.0"/>
    <col customWidth="1" min="13" max="13" width="19.0"/>
    <col customWidth="1" min="14" max="14" width="6.25"/>
    <col customWidth="1" min="15" max="15" width="8.0"/>
    <col customWidth="1" hidden="1" min="16" max="16" width="8.0"/>
    <col customWidth="1" hidden="1" min="17" max="18" width="8.75"/>
    <col customWidth="1" hidden="1" min="19" max="19" width="8.0"/>
    <col customWidth="1" min="20" max="26" width="14.38"/>
  </cols>
  <sheetData>
    <row r="1" ht="30.0" customHeight="1">
      <c r="A1" s="235"/>
      <c r="B1" s="19"/>
      <c r="C1" s="19"/>
      <c r="D1" s="19"/>
      <c r="E1" s="20"/>
      <c r="F1" s="236" t="s">
        <v>218</v>
      </c>
      <c r="G1" s="237">
        <v>46085.0</v>
      </c>
      <c r="H1" s="238" t="s">
        <v>899</v>
      </c>
      <c r="I1" s="239" t="s">
        <v>900</v>
      </c>
      <c r="J1" s="20"/>
      <c r="K1" s="21"/>
      <c r="L1" s="21"/>
      <c r="M1" s="240" t="s">
        <v>901</v>
      </c>
      <c r="N1" s="4"/>
      <c r="O1" s="241">
        <v>168.0</v>
      </c>
      <c r="P1" s="21"/>
      <c r="Q1" s="21"/>
      <c r="R1" s="21"/>
      <c r="S1" s="21"/>
    </row>
    <row r="2" ht="15.0" customHeight="1">
      <c r="A2" s="8"/>
      <c r="E2" s="242"/>
      <c r="F2" s="236" t="s">
        <v>544</v>
      </c>
      <c r="G2" s="243" t="s">
        <v>42</v>
      </c>
      <c r="H2" s="103"/>
      <c r="I2" s="8"/>
      <c r="J2" s="242"/>
      <c r="K2" s="21"/>
      <c r="L2" s="21"/>
      <c r="M2" s="244" t="s">
        <v>902</v>
      </c>
      <c r="N2" s="4"/>
      <c r="O2" s="241">
        <v>6.0</v>
      </c>
      <c r="P2" s="21"/>
      <c r="Q2" s="21"/>
      <c r="R2" s="21"/>
      <c r="S2" s="21"/>
    </row>
    <row r="3" ht="15.0" customHeight="1">
      <c r="A3" s="22"/>
      <c r="B3" s="23"/>
      <c r="C3" s="23"/>
      <c r="D3" s="23"/>
      <c r="E3" s="24"/>
      <c r="F3" s="236" t="s">
        <v>675</v>
      </c>
      <c r="G3" s="243" t="s">
        <v>903</v>
      </c>
      <c r="H3" s="37"/>
      <c r="I3" s="22"/>
      <c r="J3" s="24"/>
      <c r="K3" s="21"/>
      <c r="L3" s="21"/>
      <c r="M3" s="245" t="s">
        <v>904</v>
      </c>
      <c r="N3" s="4"/>
      <c r="O3" s="241">
        <f>COUNTIF(I5:I49052,"Open")</f>
        <v>163</v>
      </c>
      <c r="P3" s="21"/>
      <c r="Q3" s="21"/>
      <c r="R3" s="21"/>
      <c r="S3" s="21"/>
    </row>
    <row r="4" ht="34.5" customHeight="1">
      <c r="A4" s="246" t="s">
        <v>905</v>
      </c>
      <c r="B4" s="246" t="s">
        <v>218</v>
      </c>
      <c r="C4" s="246" t="s">
        <v>288</v>
      </c>
      <c r="D4" s="246" t="s">
        <v>906</v>
      </c>
      <c r="E4" s="246" t="s">
        <v>675</v>
      </c>
      <c r="F4" s="247" t="s">
        <v>65</v>
      </c>
      <c r="G4" s="4"/>
      <c r="H4" s="246" t="s">
        <v>907</v>
      </c>
      <c r="I4" s="246" t="s">
        <v>122</v>
      </c>
      <c r="J4" s="246" t="s">
        <v>292</v>
      </c>
      <c r="K4" s="79"/>
      <c r="L4" s="79"/>
      <c r="M4" s="247" t="s">
        <v>293</v>
      </c>
      <c r="N4" s="3"/>
      <c r="O4" s="4"/>
      <c r="P4" s="21"/>
      <c r="Q4" s="21"/>
      <c r="R4" s="21"/>
      <c r="S4" s="21"/>
    </row>
    <row r="5" ht="19.5" customHeight="1">
      <c r="A5" s="90">
        <v>1.0</v>
      </c>
      <c r="B5" s="139">
        <v>45890.0</v>
      </c>
      <c r="C5" s="90">
        <v>125.0</v>
      </c>
      <c r="D5" s="93" t="s">
        <v>908</v>
      </c>
      <c r="E5" s="90" t="s">
        <v>714</v>
      </c>
      <c r="F5" s="132" t="s">
        <v>909</v>
      </c>
      <c r="G5" s="4"/>
      <c r="H5" s="90" t="s">
        <v>314</v>
      </c>
      <c r="I5" s="90" t="s">
        <v>904</v>
      </c>
      <c r="J5" s="85"/>
      <c r="K5" s="79"/>
      <c r="L5" s="79"/>
      <c r="M5" s="154"/>
      <c r="N5" s="3"/>
      <c r="O5" s="4"/>
      <c r="P5" s="21">
        <f>COUNTIF(D5:D49309,"Oil Leakage")</f>
        <v>0</v>
      </c>
      <c r="Q5" s="21"/>
      <c r="R5" s="21"/>
      <c r="S5" s="21">
        <f>COUNTIF(D5:D49990,"Fan not running")</f>
        <v>0</v>
      </c>
    </row>
    <row r="6" ht="19.5" customHeight="1">
      <c r="A6" s="90">
        <v>2.0</v>
      </c>
      <c r="B6" s="139">
        <v>45892.0</v>
      </c>
      <c r="C6" s="90">
        <v>121.0</v>
      </c>
      <c r="D6" s="93" t="s">
        <v>908</v>
      </c>
      <c r="E6" s="90" t="s">
        <v>714</v>
      </c>
      <c r="F6" s="132" t="s">
        <v>909</v>
      </c>
      <c r="G6" s="4"/>
      <c r="H6" s="90" t="s">
        <v>314</v>
      </c>
      <c r="I6" s="90" t="s">
        <v>904</v>
      </c>
      <c r="J6" s="85"/>
      <c r="K6" s="79"/>
      <c r="L6" s="79"/>
      <c r="M6" s="154"/>
      <c r="N6" s="3"/>
      <c r="O6" s="4"/>
      <c r="P6" s="21">
        <f>COUNTIF(D5:D49309,"UPS Capacitor Burn")</f>
        <v>0</v>
      </c>
      <c r="Q6" s="21"/>
      <c r="R6" s="21"/>
      <c r="S6" s="21">
        <f>COUNTIF(D5:D49990,"Sealent required")</f>
        <v>3</v>
      </c>
    </row>
    <row r="7" ht="19.5" customHeight="1">
      <c r="A7" s="90">
        <v>3.0</v>
      </c>
      <c r="B7" s="139">
        <v>45892.0</v>
      </c>
      <c r="C7" s="90">
        <v>124.0</v>
      </c>
      <c r="D7" s="93" t="s">
        <v>908</v>
      </c>
      <c r="E7" s="90" t="s">
        <v>714</v>
      </c>
      <c r="F7" s="132" t="s">
        <v>909</v>
      </c>
      <c r="G7" s="4"/>
      <c r="H7" s="90" t="s">
        <v>314</v>
      </c>
      <c r="I7" s="90" t="s">
        <v>904</v>
      </c>
      <c r="J7" s="85"/>
      <c r="K7" s="79"/>
      <c r="L7" s="79"/>
      <c r="M7" s="154"/>
      <c r="N7" s="3"/>
      <c r="O7" s="4"/>
      <c r="P7" s="21">
        <f>COUNTIF(D5:D49309,"Sealent Required")</f>
        <v>3</v>
      </c>
      <c r="Q7" s="21"/>
      <c r="R7" s="21"/>
      <c r="S7" s="21"/>
    </row>
    <row r="8" ht="19.5" customHeight="1">
      <c r="A8" s="90">
        <v>4.0</v>
      </c>
      <c r="B8" s="139">
        <v>45893.0</v>
      </c>
      <c r="C8" s="90">
        <v>132.0</v>
      </c>
      <c r="D8" s="93" t="s">
        <v>908</v>
      </c>
      <c r="E8" s="90" t="s">
        <v>714</v>
      </c>
      <c r="F8" s="132" t="s">
        <v>909</v>
      </c>
      <c r="G8" s="4"/>
      <c r="H8" s="90" t="s">
        <v>314</v>
      </c>
      <c r="I8" s="90" t="s">
        <v>904</v>
      </c>
      <c r="J8" s="85"/>
      <c r="K8" s="79"/>
      <c r="L8" s="79"/>
      <c r="M8" s="154"/>
      <c r="N8" s="3"/>
      <c r="O8" s="4"/>
      <c r="P8" s="21">
        <f>COUNTIF(D5:D49309,"Filters are Dusty")</f>
        <v>0</v>
      </c>
      <c r="Q8" s="21"/>
      <c r="R8" s="21"/>
      <c r="S8" s="21"/>
    </row>
    <row r="9" ht="19.5" customHeight="1">
      <c r="A9" s="90">
        <v>5.0</v>
      </c>
      <c r="B9" s="139">
        <v>45894.0</v>
      </c>
      <c r="C9" s="90">
        <v>130.0</v>
      </c>
      <c r="D9" s="93" t="s">
        <v>908</v>
      </c>
      <c r="E9" s="90" t="s">
        <v>714</v>
      </c>
      <c r="F9" s="132" t="s">
        <v>909</v>
      </c>
      <c r="G9" s="4"/>
      <c r="H9" s="90" t="s">
        <v>314</v>
      </c>
      <c r="I9" s="90" t="s">
        <v>904</v>
      </c>
      <c r="J9" s="85"/>
      <c r="K9" s="79"/>
      <c r="L9" s="79"/>
      <c r="M9" s="154"/>
      <c r="N9" s="3"/>
      <c r="O9" s="4"/>
      <c r="P9" s="21">
        <f>COUNTIF(D5:D49309,"MV Station Damage")</f>
        <v>0</v>
      </c>
      <c r="Q9" s="21"/>
      <c r="R9" s="21"/>
      <c r="S9" s="21"/>
    </row>
    <row r="10" ht="19.5" customHeight="1">
      <c r="A10" s="90">
        <v>6.0</v>
      </c>
      <c r="B10" s="139">
        <v>45895.0</v>
      </c>
      <c r="C10" s="90">
        <v>131.0</v>
      </c>
      <c r="D10" s="93" t="s">
        <v>908</v>
      </c>
      <c r="E10" s="90" t="s">
        <v>714</v>
      </c>
      <c r="F10" s="132" t="s">
        <v>909</v>
      </c>
      <c r="G10" s="4"/>
      <c r="H10" s="90" t="s">
        <v>314</v>
      </c>
      <c r="I10" s="90" t="s">
        <v>904</v>
      </c>
      <c r="J10" s="85"/>
      <c r="K10" s="79"/>
      <c r="L10" s="79"/>
      <c r="M10" s="154"/>
      <c r="N10" s="3"/>
      <c r="O10" s="4"/>
      <c r="P10" s="21">
        <f>COUNTIF(D5:D49309,"Silica Gel need to Change")</f>
        <v>0</v>
      </c>
      <c r="Q10" s="21"/>
      <c r="R10" s="21"/>
      <c r="S10" s="21"/>
    </row>
    <row r="11" ht="19.5" customHeight="1">
      <c r="A11" s="90">
        <v>7.0</v>
      </c>
      <c r="B11" s="139">
        <v>45896.0</v>
      </c>
      <c r="C11" s="90">
        <v>129.0</v>
      </c>
      <c r="D11" s="93" t="s">
        <v>908</v>
      </c>
      <c r="E11" s="90" t="s">
        <v>714</v>
      </c>
      <c r="F11" s="132" t="s">
        <v>909</v>
      </c>
      <c r="G11" s="4"/>
      <c r="H11" s="90" t="s">
        <v>314</v>
      </c>
      <c r="I11" s="90" t="s">
        <v>904</v>
      </c>
      <c r="J11" s="85"/>
      <c r="K11" s="79"/>
      <c r="L11" s="79"/>
      <c r="M11" s="154"/>
      <c r="N11" s="3"/>
      <c r="O11" s="4"/>
      <c r="P11" s="21">
        <f>COUNTIF(D5:D49309,"MV Station Body Rusted")</f>
        <v>0</v>
      </c>
      <c r="Q11" s="21"/>
      <c r="R11" s="21"/>
      <c r="S11" s="21"/>
    </row>
    <row r="12" ht="19.5" customHeight="1">
      <c r="A12" s="90">
        <v>8.0</v>
      </c>
      <c r="B12" s="139">
        <v>45897.0</v>
      </c>
      <c r="C12" s="90">
        <v>128.0</v>
      </c>
      <c r="D12" s="93" t="s">
        <v>908</v>
      </c>
      <c r="E12" s="90" t="s">
        <v>714</v>
      </c>
      <c r="F12" s="132" t="s">
        <v>909</v>
      </c>
      <c r="G12" s="4"/>
      <c r="H12" s="90" t="s">
        <v>314</v>
      </c>
      <c r="I12" s="90" t="s">
        <v>904</v>
      </c>
      <c r="J12" s="85"/>
      <c r="K12" s="79"/>
      <c r="L12" s="79"/>
      <c r="M12" s="154"/>
      <c r="N12" s="3"/>
      <c r="O12" s="4"/>
      <c r="P12" s="21"/>
      <c r="Q12" s="21"/>
      <c r="R12" s="21"/>
      <c r="S12" s="21"/>
    </row>
    <row r="13" ht="19.5" customHeight="1">
      <c r="A13" s="90">
        <v>9.0</v>
      </c>
      <c r="B13" s="139">
        <v>45902.0</v>
      </c>
      <c r="C13" s="90">
        <v>120.0</v>
      </c>
      <c r="D13" s="93" t="s">
        <v>908</v>
      </c>
      <c r="E13" s="90" t="s">
        <v>714</v>
      </c>
      <c r="F13" s="132" t="s">
        <v>909</v>
      </c>
      <c r="G13" s="4"/>
      <c r="H13" s="90" t="s">
        <v>314</v>
      </c>
      <c r="I13" s="90" t="s">
        <v>904</v>
      </c>
      <c r="J13" s="85"/>
      <c r="K13" s="79"/>
      <c r="L13" s="79"/>
      <c r="M13" s="154"/>
      <c r="N13" s="3"/>
      <c r="O13" s="4"/>
      <c r="P13" s="21"/>
      <c r="Q13" s="21"/>
      <c r="R13" s="21"/>
      <c r="S13" s="21"/>
    </row>
    <row r="14" ht="19.5" customHeight="1">
      <c r="A14" s="90">
        <v>10.0</v>
      </c>
      <c r="B14" s="139">
        <v>45903.0</v>
      </c>
      <c r="C14" s="90">
        <v>119.0</v>
      </c>
      <c r="D14" s="93" t="s">
        <v>908</v>
      </c>
      <c r="E14" s="90" t="s">
        <v>714</v>
      </c>
      <c r="F14" s="132" t="s">
        <v>909</v>
      </c>
      <c r="G14" s="4"/>
      <c r="H14" s="90" t="s">
        <v>314</v>
      </c>
      <c r="I14" s="90" t="s">
        <v>904</v>
      </c>
      <c r="J14" s="85"/>
      <c r="K14" s="79"/>
      <c r="L14" s="79"/>
      <c r="M14" s="154"/>
      <c r="N14" s="3"/>
      <c r="O14" s="4"/>
      <c r="P14" s="21"/>
      <c r="Q14" s="21"/>
      <c r="R14" s="21"/>
      <c r="S14" s="21"/>
    </row>
    <row r="15" ht="19.5" customHeight="1">
      <c r="A15" s="90">
        <v>11.0</v>
      </c>
      <c r="B15" s="139">
        <v>45903.0</v>
      </c>
      <c r="C15" s="90">
        <v>119.0</v>
      </c>
      <c r="D15" s="145" t="s">
        <v>910</v>
      </c>
      <c r="E15" s="90" t="s">
        <v>911</v>
      </c>
      <c r="F15" s="132" t="s">
        <v>912</v>
      </c>
      <c r="G15" s="4"/>
      <c r="H15" s="90" t="s">
        <v>913</v>
      </c>
      <c r="I15" s="90" t="s">
        <v>904</v>
      </c>
      <c r="J15" s="85"/>
      <c r="K15" s="79"/>
      <c r="L15" s="79"/>
      <c r="M15" s="154"/>
      <c r="N15" s="3"/>
      <c r="O15" s="4"/>
      <c r="P15" s="21"/>
      <c r="Q15" s="21"/>
      <c r="R15" s="21"/>
      <c r="S15" s="21"/>
    </row>
    <row r="16" ht="19.5" customHeight="1">
      <c r="A16" s="90">
        <v>12.0</v>
      </c>
      <c r="B16" s="139">
        <v>45904.0</v>
      </c>
      <c r="C16" s="90">
        <v>118.0</v>
      </c>
      <c r="D16" s="93" t="s">
        <v>908</v>
      </c>
      <c r="E16" s="90" t="s">
        <v>714</v>
      </c>
      <c r="F16" s="132" t="s">
        <v>909</v>
      </c>
      <c r="G16" s="4"/>
      <c r="H16" s="90" t="s">
        <v>314</v>
      </c>
      <c r="I16" s="90" t="s">
        <v>904</v>
      </c>
      <c r="J16" s="85"/>
      <c r="K16" s="79"/>
      <c r="L16" s="79"/>
      <c r="M16" s="154"/>
      <c r="N16" s="3"/>
      <c r="O16" s="4"/>
      <c r="P16" s="21"/>
      <c r="Q16" s="21"/>
      <c r="R16" s="21"/>
      <c r="S16" s="21"/>
    </row>
    <row r="17" ht="19.5" customHeight="1">
      <c r="A17" s="90">
        <v>13.0</v>
      </c>
      <c r="B17" s="139">
        <v>45904.0</v>
      </c>
      <c r="C17" s="90">
        <v>118.0</v>
      </c>
      <c r="D17" s="93" t="s">
        <v>910</v>
      </c>
      <c r="E17" s="90" t="s">
        <v>911</v>
      </c>
      <c r="F17" s="132" t="s">
        <v>912</v>
      </c>
      <c r="G17" s="4"/>
      <c r="H17" s="90" t="s">
        <v>913</v>
      </c>
      <c r="I17" s="90" t="s">
        <v>904</v>
      </c>
      <c r="J17" s="85"/>
      <c r="K17" s="79"/>
      <c r="L17" s="79"/>
      <c r="M17" s="154"/>
      <c r="N17" s="3"/>
      <c r="O17" s="4"/>
      <c r="P17" s="21"/>
      <c r="Q17" s="21"/>
      <c r="R17" s="21"/>
      <c r="S17" s="21"/>
    </row>
    <row r="18" ht="19.5" customHeight="1">
      <c r="A18" s="90">
        <v>14.0</v>
      </c>
      <c r="B18" s="139">
        <v>45906.0</v>
      </c>
      <c r="C18" s="90">
        <v>117.0</v>
      </c>
      <c r="D18" s="93" t="s">
        <v>908</v>
      </c>
      <c r="E18" s="90" t="s">
        <v>714</v>
      </c>
      <c r="F18" s="132" t="s">
        <v>909</v>
      </c>
      <c r="G18" s="4"/>
      <c r="H18" s="90" t="s">
        <v>314</v>
      </c>
      <c r="I18" s="90" t="s">
        <v>904</v>
      </c>
      <c r="J18" s="85"/>
      <c r="K18" s="79"/>
      <c r="L18" s="79"/>
      <c r="M18" s="154"/>
      <c r="N18" s="3"/>
      <c r="O18" s="4"/>
      <c r="P18" s="21"/>
      <c r="Q18" s="21"/>
      <c r="R18" s="21"/>
      <c r="S18" s="21"/>
    </row>
    <row r="19" ht="19.5" customHeight="1">
      <c r="A19" s="90">
        <v>15.0</v>
      </c>
      <c r="B19" s="139">
        <v>45906.0</v>
      </c>
      <c r="C19" s="90">
        <v>117.0</v>
      </c>
      <c r="D19" s="93" t="s">
        <v>910</v>
      </c>
      <c r="E19" s="90" t="s">
        <v>911</v>
      </c>
      <c r="F19" s="132" t="s">
        <v>912</v>
      </c>
      <c r="G19" s="4"/>
      <c r="H19" s="90" t="s">
        <v>913</v>
      </c>
      <c r="I19" s="90" t="s">
        <v>904</v>
      </c>
      <c r="J19" s="85"/>
      <c r="K19" s="79"/>
      <c r="L19" s="79"/>
      <c r="M19" s="154"/>
      <c r="N19" s="3"/>
      <c r="O19" s="4"/>
      <c r="P19" s="21"/>
      <c r="Q19" s="21"/>
      <c r="R19" s="21"/>
      <c r="S19" s="21"/>
    </row>
    <row r="20" ht="19.5" customHeight="1">
      <c r="A20" s="90">
        <v>16.0</v>
      </c>
      <c r="B20" s="139">
        <v>45907.0</v>
      </c>
      <c r="C20" s="90">
        <v>116.0</v>
      </c>
      <c r="D20" s="93" t="s">
        <v>908</v>
      </c>
      <c r="E20" s="90" t="s">
        <v>714</v>
      </c>
      <c r="F20" s="132" t="s">
        <v>909</v>
      </c>
      <c r="G20" s="4"/>
      <c r="H20" s="90" t="s">
        <v>314</v>
      </c>
      <c r="I20" s="90" t="s">
        <v>904</v>
      </c>
      <c r="J20" s="85"/>
      <c r="K20" s="79"/>
      <c r="L20" s="79"/>
      <c r="M20" s="154"/>
      <c r="N20" s="3"/>
      <c r="O20" s="4"/>
      <c r="P20" s="21"/>
      <c r="Q20" s="21"/>
      <c r="R20" s="21"/>
      <c r="S20" s="21"/>
    </row>
    <row r="21" ht="19.5" customHeight="1">
      <c r="A21" s="90">
        <v>17.0</v>
      </c>
      <c r="B21" s="139">
        <v>45908.0</v>
      </c>
      <c r="C21" s="90">
        <v>115.0</v>
      </c>
      <c r="D21" s="93" t="s">
        <v>908</v>
      </c>
      <c r="E21" s="90" t="s">
        <v>714</v>
      </c>
      <c r="F21" s="132" t="s">
        <v>909</v>
      </c>
      <c r="G21" s="4"/>
      <c r="H21" s="90" t="s">
        <v>314</v>
      </c>
      <c r="I21" s="90" t="s">
        <v>904</v>
      </c>
      <c r="J21" s="85"/>
      <c r="K21" s="79"/>
      <c r="L21" s="79"/>
      <c r="M21" s="154"/>
      <c r="N21" s="3"/>
      <c r="O21" s="4"/>
      <c r="P21" s="21"/>
      <c r="Q21" s="21"/>
      <c r="R21" s="21"/>
      <c r="S21" s="21"/>
    </row>
    <row r="22" ht="19.5" customHeight="1">
      <c r="A22" s="90">
        <v>18.0</v>
      </c>
      <c r="B22" s="139">
        <v>45909.0</v>
      </c>
      <c r="C22" s="90">
        <v>114.0</v>
      </c>
      <c r="D22" s="93" t="s">
        <v>908</v>
      </c>
      <c r="E22" s="90" t="s">
        <v>714</v>
      </c>
      <c r="F22" s="132" t="s">
        <v>909</v>
      </c>
      <c r="G22" s="4"/>
      <c r="H22" s="90" t="s">
        <v>314</v>
      </c>
      <c r="I22" s="90" t="s">
        <v>904</v>
      </c>
      <c r="J22" s="85"/>
      <c r="K22" s="79"/>
      <c r="L22" s="79"/>
      <c r="M22" s="154"/>
      <c r="N22" s="3"/>
      <c r="O22" s="4"/>
      <c r="P22" s="21"/>
      <c r="Q22" s="21"/>
      <c r="R22" s="21"/>
      <c r="S22" s="21"/>
    </row>
    <row r="23" ht="19.5" customHeight="1">
      <c r="A23" s="90">
        <v>19.0</v>
      </c>
      <c r="B23" s="139">
        <v>45910.0</v>
      </c>
      <c r="C23" s="90">
        <v>113.0</v>
      </c>
      <c r="D23" s="93" t="s">
        <v>908</v>
      </c>
      <c r="E23" s="90" t="s">
        <v>714</v>
      </c>
      <c r="F23" s="132" t="s">
        <v>909</v>
      </c>
      <c r="G23" s="4"/>
      <c r="H23" s="90" t="s">
        <v>314</v>
      </c>
      <c r="I23" s="90" t="s">
        <v>904</v>
      </c>
      <c r="J23" s="85"/>
      <c r="K23" s="79"/>
      <c r="L23" s="79"/>
      <c r="M23" s="154"/>
      <c r="N23" s="3"/>
      <c r="O23" s="4"/>
      <c r="P23" s="21"/>
      <c r="Q23" s="21"/>
      <c r="R23" s="21"/>
      <c r="S23" s="21"/>
    </row>
    <row r="24" ht="19.5" customHeight="1">
      <c r="A24" s="90">
        <v>20.0</v>
      </c>
      <c r="B24" s="139">
        <v>45911.0</v>
      </c>
      <c r="C24" s="90">
        <v>112.0</v>
      </c>
      <c r="D24" s="93" t="s">
        <v>908</v>
      </c>
      <c r="E24" s="90" t="s">
        <v>714</v>
      </c>
      <c r="F24" s="132" t="s">
        <v>909</v>
      </c>
      <c r="G24" s="4"/>
      <c r="H24" s="90" t="s">
        <v>314</v>
      </c>
      <c r="I24" s="90" t="s">
        <v>904</v>
      </c>
      <c r="J24" s="85"/>
      <c r="K24" s="79"/>
      <c r="L24" s="79"/>
      <c r="M24" s="154"/>
      <c r="N24" s="3"/>
      <c r="O24" s="4"/>
      <c r="P24" s="21"/>
      <c r="Q24" s="21"/>
      <c r="R24" s="21"/>
      <c r="S24" s="21"/>
    </row>
    <row r="25" ht="19.5" customHeight="1">
      <c r="A25" s="90">
        <v>21.0</v>
      </c>
      <c r="B25" s="248">
        <v>45913.0</v>
      </c>
      <c r="C25" s="90">
        <v>111.0</v>
      </c>
      <c r="D25" s="93" t="s">
        <v>908</v>
      </c>
      <c r="E25" s="90" t="s">
        <v>714</v>
      </c>
      <c r="F25" s="132" t="s">
        <v>909</v>
      </c>
      <c r="G25" s="4"/>
      <c r="H25" s="90" t="s">
        <v>314</v>
      </c>
      <c r="I25" s="90" t="s">
        <v>904</v>
      </c>
      <c r="J25" s="85"/>
      <c r="K25" s="79"/>
      <c r="L25" s="79"/>
      <c r="M25" s="154"/>
      <c r="N25" s="3"/>
      <c r="O25" s="4"/>
      <c r="P25" s="21"/>
      <c r="Q25" s="21"/>
      <c r="R25" s="21"/>
      <c r="S25" s="21"/>
    </row>
    <row r="26" ht="19.5" customHeight="1">
      <c r="A26" s="90">
        <v>22.0</v>
      </c>
      <c r="B26" s="139">
        <v>45914.0</v>
      </c>
      <c r="C26" s="90">
        <v>110.0</v>
      </c>
      <c r="D26" s="93" t="s">
        <v>908</v>
      </c>
      <c r="E26" s="90" t="s">
        <v>714</v>
      </c>
      <c r="F26" s="132" t="s">
        <v>909</v>
      </c>
      <c r="G26" s="4"/>
      <c r="H26" s="90" t="s">
        <v>314</v>
      </c>
      <c r="I26" s="90" t="s">
        <v>904</v>
      </c>
      <c r="J26" s="85"/>
      <c r="K26" s="79"/>
      <c r="L26" s="79"/>
      <c r="M26" s="154"/>
      <c r="N26" s="3"/>
      <c r="O26" s="4"/>
      <c r="P26" s="21"/>
      <c r="Q26" s="21"/>
      <c r="R26" s="21"/>
      <c r="S26" s="21"/>
    </row>
    <row r="27" ht="19.5" customHeight="1">
      <c r="A27" s="90">
        <v>23.0</v>
      </c>
      <c r="B27" s="139">
        <v>45915.0</v>
      </c>
      <c r="C27" s="90">
        <v>109.0</v>
      </c>
      <c r="D27" s="93" t="s">
        <v>908</v>
      </c>
      <c r="E27" s="90" t="s">
        <v>714</v>
      </c>
      <c r="F27" s="132" t="s">
        <v>909</v>
      </c>
      <c r="G27" s="4"/>
      <c r="H27" s="90" t="s">
        <v>314</v>
      </c>
      <c r="I27" s="90" t="s">
        <v>904</v>
      </c>
      <c r="J27" s="90"/>
      <c r="K27" s="79"/>
      <c r="L27" s="79"/>
      <c r="M27" s="154"/>
      <c r="N27" s="3"/>
      <c r="O27" s="4"/>
      <c r="P27" s="21"/>
      <c r="Q27" s="21"/>
      <c r="R27" s="21"/>
      <c r="S27" s="21"/>
    </row>
    <row r="28" ht="19.5" customHeight="1">
      <c r="A28" s="90">
        <v>24.0</v>
      </c>
      <c r="B28" s="139">
        <v>45916.0</v>
      </c>
      <c r="C28" s="90">
        <v>108.0</v>
      </c>
      <c r="D28" s="93" t="s">
        <v>908</v>
      </c>
      <c r="E28" s="90" t="s">
        <v>714</v>
      </c>
      <c r="F28" s="132" t="s">
        <v>909</v>
      </c>
      <c r="G28" s="4"/>
      <c r="H28" s="90" t="s">
        <v>314</v>
      </c>
      <c r="I28" s="90" t="s">
        <v>904</v>
      </c>
      <c r="J28" s="85"/>
      <c r="K28" s="79"/>
      <c r="L28" s="79"/>
      <c r="M28" s="154"/>
      <c r="N28" s="3"/>
      <c r="O28" s="4"/>
      <c r="P28" s="21"/>
      <c r="Q28" s="21"/>
      <c r="R28" s="21"/>
      <c r="S28" s="21"/>
    </row>
    <row r="29" ht="19.5" customHeight="1">
      <c r="A29" s="90">
        <v>25.0</v>
      </c>
      <c r="B29" s="139">
        <v>45917.0</v>
      </c>
      <c r="C29" s="90">
        <v>107.0</v>
      </c>
      <c r="D29" s="93" t="s">
        <v>908</v>
      </c>
      <c r="E29" s="90" t="s">
        <v>714</v>
      </c>
      <c r="F29" s="132" t="s">
        <v>909</v>
      </c>
      <c r="G29" s="4"/>
      <c r="H29" s="90" t="s">
        <v>314</v>
      </c>
      <c r="I29" s="90" t="s">
        <v>904</v>
      </c>
      <c r="J29" s="85"/>
      <c r="K29" s="79"/>
      <c r="L29" s="79"/>
      <c r="M29" s="154"/>
      <c r="N29" s="3"/>
      <c r="O29" s="4"/>
      <c r="P29" s="21"/>
      <c r="Q29" s="21"/>
      <c r="R29" s="21"/>
      <c r="S29" s="21"/>
    </row>
    <row r="30" ht="19.5" customHeight="1">
      <c r="A30" s="90">
        <v>26.0</v>
      </c>
      <c r="B30" s="139">
        <v>45918.0</v>
      </c>
      <c r="C30" s="90">
        <v>106.0</v>
      </c>
      <c r="D30" s="93" t="s">
        <v>908</v>
      </c>
      <c r="E30" s="90" t="s">
        <v>714</v>
      </c>
      <c r="F30" s="132" t="s">
        <v>909</v>
      </c>
      <c r="G30" s="4"/>
      <c r="H30" s="90" t="s">
        <v>314</v>
      </c>
      <c r="I30" s="90" t="s">
        <v>904</v>
      </c>
      <c r="J30" s="85"/>
      <c r="K30" s="79"/>
      <c r="L30" s="79"/>
      <c r="M30" s="154"/>
      <c r="N30" s="3"/>
      <c r="O30" s="4"/>
      <c r="P30" s="21"/>
      <c r="Q30" s="21"/>
      <c r="R30" s="21"/>
      <c r="S30" s="21"/>
    </row>
    <row r="31" ht="19.5" customHeight="1">
      <c r="A31" s="90">
        <v>27.0</v>
      </c>
      <c r="B31" s="139">
        <v>45920.0</v>
      </c>
      <c r="C31" s="90">
        <v>105.0</v>
      </c>
      <c r="D31" s="93" t="s">
        <v>908</v>
      </c>
      <c r="E31" s="90" t="s">
        <v>714</v>
      </c>
      <c r="F31" s="132" t="s">
        <v>909</v>
      </c>
      <c r="G31" s="4"/>
      <c r="H31" s="90" t="s">
        <v>314</v>
      </c>
      <c r="I31" s="90" t="s">
        <v>904</v>
      </c>
      <c r="J31" s="85"/>
      <c r="K31" s="79"/>
      <c r="L31" s="79"/>
      <c r="M31" s="154"/>
      <c r="N31" s="3"/>
      <c r="O31" s="4"/>
      <c r="P31" s="21"/>
      <c r="Q31" s="21"/>
      <c r="R31" s="21"/>
      <c r="S31" s="21"/>
    </row>
    <row r="32" ht="19.5" customHeight="1">
      <c r="A32" s="90">
        <v>28.0</v>
      </c>
      <c r="B32" s="139">
        <v>45921.0</v>
      </c>
      <c r="C32" s="90">
        <v>104.0</v>
      </c>
      <c r="D32" s="93" t="s">
        <v>908</v>
      </c>
      <c r="E32" s="90" t="s">
        <v>714</v>
      </c>
      <c r="F32" s="132" t="s">
        <v>909</v>
      </c>
      <c r="G32" s="4"/>
      <c r="H32" s="90" t="s">
        <v>314</v>
      </c>
      <c r="I32" s="90" t="s">
        <v>904</v>
      </c>
      <c r="J32" s="85"/>
      <c r="K32" s="79"/>
      <c r="L32" s="79"/>
      <c r="M32" s="154"/>
      <c r="N32" s="3"/>
      <c r="O32" s="4"/>
      <c r="P32" s="21"/>
      <c r="Q32" s="21"/>
      <c r="R32" s="21"/>
      <c r="S32" s="21"/>
    </row>
    <row r="33" ht="19.5" customHeight="1">
      <c r="A33" s="90">
        <v>29.0</v>
      </c>
      <c r="B33" s="139">
        <v>45922.0</v>
      </c>
      <c r="C33" s="90">
        <v>103.0</v>
      </c>
      <c r="D33" s="93" t="s">
        <v>908</v>
      </c>
      <c r="E33" s="90" t="s">
        <v>714</v>
      </c>
      <c r="F33" s="132" t="s">
        <v>909</v>
      </c>
      <c r="G33" s="4"/>
      <c r="H33" s="90" t="s">
        <v>314</v>
      </c>
      <c r="I33" s="90" t="s">
        <v>904</v>
      </c>
      <c r="J33" s="85"/>
      <c r="K33" s="79"/>
      <c r="L33" s="79"/>
      <c r="M33" s="154"/>
      <c r="N33" s="3"/>
      <c r="O33" s="4"/>
      <c r="P33" s="21"/>
      <c r="Q33" s="21"/>
      <c r="R33" s="21"/>
      <c r="S33" s="21"/>
    </row>
    <row r="34" ht="19.5" customHeight="1">
      <c r="A34" s="90">
        <v>30.0</v>
      </c>
      <c r="B34" s="139">
        <v>45923.0</v>
      </c>
      <c r="C34" s="90">
        <v>102.0</v>
      </c>
      <c r="D34" s="93" t="s">
        <v>908</v>
      </c>
      <c r="E34" s="90" t="s">
        <v>714</v>
      </c>
      <c r="F34" s="132" t="s">
        <v>909</v>
      </c>
      <c r="G34" s="4"/>
      <c r="H34" s="90" t="s">
        <v>314</v>
      </c>
      <c r="I34" s="90" t="s">
        <v>904</v>
      </c>
      <c r="J34" s="85"/>
      <c r="K34" s="79"/>
      <c r="L34" s="79"/>
      <c r="M34" s="154"/>
      <c r="N34" s="3"/>
      <c r="O34" s="4"/>
      <c r="P34" s="21"/>
      <c r="Q34" s="21"/>
      <c r="R34" s="21"/>
      <c r="S34" s="21"/>
    </row>
    <row r="35" ht="19.5" customHeight="1">
      <c r="A35" s="90">
        <v>31.0</v>
      </c>
      <c r="B35" s="139">
        <v>45924.0</v>
      </c>
      <c r="C35" s="90">
        <v>100.0</v>
      </c>
      <c r="D35" s="93" t="s">
        <v>908</v>
      </c>
      <c r="E35" s="90" t="s">
        <v>714</v>
      </c>
      <c r="F35" s="132" t="s">
        <v>909</v>
      </c>
      <c r="G35" s="4"/>
      <c r="H35" s="90" t="s">
        <v>314</v>
      </c>
      <c r="I35" s="90" t="s">
        <v>904</v>
      </c>
      <c r="J35" s="85"/>
      <c r="K35" s="79"/>
      <c r="L35" s="79"/>
      <c r="M35" s="154"/>
      <c r="N35" s="3"/>
      <c r="O35" s="4"/>
      <c r="P35" s="21"/>
      <c r="Q35" s="21"/>
      <c r="R35" s="21"/>
      <c r="S35" s="21"/>
    </row>
    <row r="36" ht="19.5" customHeight="1">
      <c r="A36" s="90">
        <v>32.0</v>
      </c>
      <c r="B36" s="139">
        <v>45924.0</v>
      </c>
      <c r="C36" s="90">
        <v>99.0</v>
      </c>
      <c r="D36" s="93" t="s">
        <v>908</v>
      </c>
      <c r="E36" s="90" t="s">
        <v>714</v>
      </c>
      <c r="F36" s="132" t="s">
        <v>909</v>
      </c>
      <c r="G36" s="4"/>
      <c r="H36" s="90" t="s">
        <v>314</v>
      </c>
      <c r="I36" s="90" t="s">
        <v>904</v>
      </c>
      <c r="J36" s="85"/>
      <c r="K36" s="79"/>
      <c r="L36" s="79"/>
      <c r="M36" s="154"/>
      <c r="N36" s="3"/>
      <c r="O36" s="4"/>
      <c r="P36" s="21"/>
      <c r="Q36" s="21"/>
      <c r="R36" s="21"/>
      <c r="S36" s="21"/>
    </row>
    <row r="37" ht="19.5" customHeight="1">
      <c r="A37" s="90">
        <v>33.0</v>
      </c>
      <c r="B37" s="139">
        <v>45925.0</v>
      </c>
      <c r="C37" s="90">
        <v>98.0</v>
      </c>
      <c r="D37" s="93" t="s">
        <v>908</v>
      </c>
      <c r="E37" s="90" t="s">
        <v>714</v>
      </c>
      <c r="F37" s="132" t="s">
        <v>909</v>
      </c>
      <c r="G37" s="4"/>
      <c r="H37" s="90" t="s">
        <v>314</v>
      </c>
      <c r="I37" s="90" t="s">
        <v>904</v>
      </c>
      <c r="J37" s="85"/>
      <c r="K37" s="79"/>
      <c r="L37" s="79"/>
      <c r="M37" s="154"/>
      <c r="N37" s="3"/>
      <c r="O37" s="4"/>
      <c r="P37" s="21"/>
      <c r="Q37" s="21"/>
      <c r="R37" s="21"/>
      <c r="S37" s="21"/>
    </row>
    <row r="38" ht="19.5" customHeight="1">
      <c r="A38" s="90">
        <v>34.0</v>
      </c>
      <c r="B38" s="139">
        <v>45925.0</v>
      </c>
      <c r="C38" s="90">
        <v>97.0</v>
      </c>
      <c r="D38" s="93" t="s">
        <v>908</v>
      </c>
      <c r="E38" s="90" t="s">
        <v>714</v>
      </c>
      <c r="F38" s="132" t="s">
        <v>909</v>
      </c>
      <c r="G38" s="4"/>
      <c r="H38" s="90" t="s">
        <v>314</v>
      </c>
      <c r="I38" s="90" t="s">
        <v>904</v>
      </c>
      <c r="J38" s="85"/>
      <c r="K38" s="79"/>
      <c r="L38" s="79"/>
      <c r="M38" s="154"/>
      <c r="N38" s="3"/>
      <c r="O38" s="4"/>
      <c r="P38" s="21"/>
      <c r="Q38" s="21"/>
      <c r="R38" s="21"/>
      <c r="S38" s="21"/>
    </row>
    <row r="39" ht="19.5" customHeight="1">
      <c r="A39" s="90">
        <v>35.0</v>
      </c>
      <c r="B39" s="139">
        <v>45925.0</v>
      </c>
      <c r="C39" s="90">
        <v>96.0</v>
      </c>
      <c r="D39" s="93" t="s">
        <v>908</v>
      </c>
      <c r="E39" s="90" t="s">
        <v>714</v>
      </c>
      <c r="F39" s="132" t="s">
        <v>909</v>
      </c>
      <c r="G39" s="4"/>
      <c r="H39" s="90" t="s">
        <v>314</v>
      </c>
      <c r="I39" s="90" t="s">
        <v>904</v>
      </c>
      <c r="J39" s="85"/>
      <c r="K39" s="79"/>
      <c r="L39" s="79"/>
      <c r="M39" s="154"/>
      <c r="N39" s="3"/>
      <c r="O39" s="4"/>
      <c r="P39" s="21"/>
      <c r="Q39" s="21"/>
      <c r="R39" s="21"/>
      <c r="S39" s="21"/>
    </row>
    <row r="40" ht="19.5" customHeight="1">
      <c r="A40" s="90">
        <v>36.0</v>
      </c>
      <c r="B40" s="139">
        <v>45927.0</v>
      </c>
      <c r="C40" s="90">
        <v>95.0</v>
      </c>
      <c r="D40" s="93" t="s">
        <v>908</v>
      </c>
      <c r="E40" s="90" t="s">
        <v>714</v>
      </c>
      <c r="F40" s="132" t="s">
        <v>909</v>
      </c>
      <c r="G40" s="4"/>
      <c r="H40" s="90" t="s">
        <v>314</v>
      </c>
      <c r="I40" s="90" t="s">
        <v>904</v>
      </c>
      <c r="J40" s="85"/>
      <c r="K40" s="79"/>
      <c r="L40" s="79"/>
      <c r="M40" s="154"/>
      <c r="N40" s="3"/>
      <c r="O40" s="4"/>
      <c r="P40" s="21"/>
      <c r="Q40" s="21"/>
      <c r="R40" s="21"/>
      <c r="S40" s="21"/>
    </row>
    <row r="41" ht="19.5" customHeight="1">
      <c r="A41" s="90">
        <v>37.0</v>
      </c>
      <c r="B41" s="139">
        <v>45927.0</v>
      </c>
      <c r="C41" s="90">
        <v>94.0</v>
      </c>
      <c r="D41" s="93" t="s">
        <v>908</v>
      </c>
      <c r="E41" s="90" t="s">
        <v>714</v>
      </c>
      <c r="F41" s="132" t="s">
        <v>909</v>
      </c>
      <c r="G41" s="4"/>
      <c r="H41" s="90" t="s">
        <v>314</v>
      </c>
      <c r="I41" s="90" t="s">
        <v>904</v>
      </c>
      <c r="J41" s="85"/>
      <c r="K41" s="79"/>
      <c r="L41" s="79"/>
      <c r="M41" s="154"/>
      <c r="N41" s="3"/>
      <c r="O41" s="4"/>
      <c r="P41" s="21"/>
      <c r="Q41" s="21"/>
      <c r="R41" s="21"/>
      <c r="S41" s="21"/>
    </row>
    <row r="42" ht="19.5" customHeight="1">
      <c r="A42" s="90">
        <v>38.0</v>
      </c>
      <c r="B42" s="139">
        <v>45927.0</v>
      </c>
      <c r="C42" s="90">
        <v>93.0</v>
      </c>
      <c r="D42" s="93" t="s">
        <v>908</v>
      </c>
      <c r="E42" s="90" t="s">
        <v>714</v>
      </c>
      <c r="F42" s="132" t="s">
        <v>909</v>
      </c>
      <c r="G42" s="4"/>
      <c r="H42" s="90" t="s">
        <v>314</v>
      </c>
      <c r="I42" s="90" t="s">
        <v>904</v>
      </c>
      <c r="J42" s="85"/>
      <c r="K42" s="79"/>
      <c r="L42" s="79"/>
      <c r="M42" s="154"/>
      <c r="N42" s="3"/>
      <c r="O42" s="4"/>
      <c r="P42" s="21"/>
      <c r="Q42" s="21"/>
      <c r="R42" s="21"/>
      <c r="S42" s="21"/>
    </row>
    <row r="43" ht="19.5" customHeight="1">
      <c r="A43" s="90">
        <v>39.0</v>
      </c>
      <c r="B43" s="139">
        <v>45927.0</v>
      </c>
      <c r="C43" s="90">
        <v>92.0</v>
      </c>
      <c r="D43" s="93" t="s">
        <v>908</v>
      </c>
      <c r="E43" s="90" t="s">
        <v>714</v>
      </c>
      <c r="F43" s="132" t="s">
        <v>909</v>
      </c>
      <c r="G43" s="4"/>
      <c r="H43" s="90" t="s">
        <v>314</v>
      </c>
      <c r="I43" s="90" t="s">
        <v>904</v>
      </c>
      <c r="J43" s="85"/>
      <c r="K43" s="79"/>
      <c r="L43" s="79"/>
      <c r="M43" s="154"/>
      <c r="N43" s="3"/>
      <c r="O43" s="4"/>
      <c r="P43" s="21"/>
      <c r="Q43" s="21"/>
      <c r="R43" s="21"/>
      <c r="S43" s="21"/>
    </row>
    <row r="44" ht="19.5" customHeight="1">
      <c r="A44" s="90">
        <v>40.0</v>
      </c>
      <c r="B44" s="139">
        <v>45927.0</v>
      </c>
      <c r="C44" s="90">
        <v>91.0</v>
      </c>
      <c r="D44" s="93" t="s">
        <v>908</v>
      </c>
      <c r="E44" s="90" t="s">
        <v>714</v>
      </c>
      <c r="F44" s="132" t="s">
        <v>909</v>
      </c>
      <c r="G44" s="4"/>
      <c r="H44" s="90" t="s">
        <v>314</v>
      </c>
      <c r="I44" s="90" t="s">
        <v>904</v>
      </c>
      <c r="J44" s="85"/>
      <c r="K44" s="79"/>
      <c r="L44" s="79"/>
      <c r="M44" s="154"/>
      <c r="N44" s="3"/>
      <c r="O44" s="4"/>
      <c r="P44" s="21"/>
      <c r="Q44" s="21"/>
      <c r="R44" s="21"/>
      <c r="S44" s="21"/>
    </row>
    <row r="45" ht="19.5" customHeight="1">
      <c r="A45" s="90">
        <v>41.0</v>
      </c>
      <c r="B45" s="139">
        <v>45928.0</v>
      </c>
      <c r="C45" s="90">
        <v>90.0</v>
      </c>
      <c r="D45" s="93" t="s">
        <v>908</v>
      </c>
      <c r="E45" s="90" t="s">
        <v>714</v>
      </c>
      <c r="F45" s="132" t="s">
        <v>909</v>
      </c>
      <c r="G45" s="4"/>
      <c r="H45" s="90" t="s">
        <v>314</v>
      </c>
      <c r="I45" s="90" t="s">
        <v>904</v>
      </c>
      <c r="J45" s="85"/>
      <c r="K45" s="79"/>
      <c r="L45" s="79"/>
      <c r="M45" s="154"/>
      <c r="N45" s="3"/>
      <c r="O45" s="4"/>
      <c r="P45" s="21"/>
      <c r="Q45" s="21"/>
      <c r="R45" s="21"/>
      <c r="S45" s="21"/>
    </row>
    <row r="46" ht="19.5" customHeight="1">
      <c r="A46" s="90">
        <v>42.0</v>
      </c>
      <c r="B46" s="139">
        <v>45929.0</v>
      </c>
      <c r="C46" s="90">
        <v>88.0</v>
      </c>
      <c r="D46" s="93" t="s">
        <v>908</v>
      </c>
      <c r="E46" s="90" t="s">
        <v>714</v>
      </c>
      <c r="F46" s="132" t="s">
        <v>909</v>
      </c>
      <c r="G46" s="4"/>
      <c r="H46" s="90" t="s">
        <v>314</v>
      </c>
      <c r="I46" s="90" t="s">
        <v>904</v>
      </c>
      <c r="J46" s="85"/>
      <c r="K46" s="79"/>
      <c r="L46" s="79"/>
      <c r="M46" s="154"/>
      <c r="N46" s="3"/>
      <c r="O46" s="4"/>
      <c r="P46" s="21"/>
      <c r="Q46" s="21"/>
      <c r="R46" s="21"/>
      <c r="S46" s="21"/>
    </row>
    <row r="47" ht="19.5" customHeight="1">
      <c r="A47" s="90">
        <v>43.0</v>
      </c>
      <c r="B47" s="139">
        <v>45929.0</v>
      </c>
      <c r="C47" s="90">
        <v>87.0</v>
      </c>
      <c r="D47" s="93" t="s">
        <v>908</v>
      </c>
      <c r="E47" s="90" t="s">
        <v>714</v>
      </c>
      <c r="F47" s="132" t="s">
        <v>909</v>
      </c>
      <c r="G47" s="4"/>
      <c r="H47" s="90" t="s">
        <v>314</v>
      </c>
      <c r="I47" s="90" t="s">
        <v>904</v>
      </c>
      <c r="J47" s="85"/>
      <c r="K47" s="79"/>
      <c r="L47" s="79"/>
      <c r="M47" s="154"/>
      <c r="N47" s="3"/>
      <c r="O47" s="4"/>
      <c r="P47" s="21"/>
      <c r="Q47" s="21"/>
      <c r="R47" s="21"/>
      <c r="S47" s="21"/>
    </row>
    <row r="48" ht="19.5" customHeight="1">
      <c r="A48" s="90">
        <v>44.0</v>
      </c>
      <c r="B48" s="139">
        <v>45930.0</v>
      </c>
      <c r="C48" s="90">
        <v>86.0</v>
      </c>
      <c r="D48" s="93" t="s">
        <v>908</v>
      </c>
      <c r="E48" s="90" t="s">
        <v>714</v>
      </c>
      <c r="F48" s="132" t="s">
        <v>909</v>
      </c>
      <c r="G48" s="4"/>
      <c r="H48" s="90" t="s">
        <v>314</v>
      </c>
      <c r="I48" s="90" t="s">
        <v>904</v>
      </c>
      <c r="J48" s="85"/>
      <c r="K48" s="79"/>
      <c r="L48" s="79"/>
      <c r="M48" s="154"/>
      <c r="N48" s="3"/>
      <c r="O48" s="4"/>
      <c r="P48" s="21"/>
      <c r="Q48" s="21"/>
      <c r="R48" s="21"/>
      <c r="S48" s="21"/>
    </row>
    <row r="49" ht="19.5" customHeight="1">
      <c r="A49" s="90">
        <v>45.0</v>
      </c>
      <c r="B49" s="139">
        <v>45930.0</v>
      </c>
      <c r="C49" s="90">
        <v>85.0</v>
      </c>
      <c r="D49" s="93" t="s">
        <v>908</v>
      </c>
      <c r="E49" s="90" t="s">
        <v>714</v>
      </c>
      <c r="F49" s="132" t="s">
        <v>909</v>
      </c>
      <c r="G49" s="4"/>
      <c r="H49" s="90" t="s">
        <v>314</v>
      </c>
      <c r="I49" s="90" t="s">
        <v>904</v>
      </c>
      <c r="J49" s="85"/>
      <c r="K49" s="79"/>
      <c r="L49" s="79"/>
      <c r="M49" s="154"/>
      <c r="N49" s="3"/>
      <c r="O49" s="4"/>
      <c r="P49" s="21"/>
      <c r="Q49" s="21"/>
      <c r="R49" s="21"/>
      <c r="S49" s="21"/>
    </row>
    <row r="50" ht="19.5" customHeight="1">
      <c r="A50" s="90">
        <v>46.0</v>
      </c>
      <c r="B50" s="139">
        <v>45931.0</v>
      </c>
      <c r="C50" s="90">
        <v>74.0</v>
      </c>
      <c r="D50" s="93" t="s">
        <v>908</v>
      </c>
      <c r="E50" s="90" t="s">
        <v>714</v>
      </c>
      <c r="F50" s="132" t="s">
        <v>909</v>
      </c>
      <c r="G50" s="4"/>
      <c r="H50" s="90" t="s">
        <v>314</v>
      </c>
      <c r="I50" s="90" t="s">
        <v>904</v>
      </c>
      <c r="J50" s="85"/>
      <c r="K50" s="79"/>
      <c r="L50" s="79"/>
      <c r="M50" s="154"/>
      <c r="N50" s="3"/>
      <c r="O50" s="4"/>
      <c r="P50" s="21"/>
      <c r="Q50" s="21"/>
      <c r="R50" s="21"/>
      <c r="S50" s="21"/>
    </row>
    <row r="51" ht="19.5" customHeight="1">
      <c r="A51" s="90">
        <v>47.0</v>
      </c>
      <c r="B51" s="139">
        <v>45931.0</v>
      </c>
      <c r="C51" s="90">
        <v>66.0</v>
      </c>
      <c r="D51" s="93" t="s">
        <v>908</v>
      </c>
      <c r="E51" s="90" t="s">
        <v>714</v>
      </c>
      <c r="F51" s="132" t="s">
        <v>909</v>
      </c>
      <c r="G51" s="4"/>
      <c r="H51" s="90" t="s">
        <v>314</v>
      </c>
      <c r="I51" s="90" t="s">
        <v>904</v>
      </c>
      <c r="J51" s="85"/>
      <c r="K51" s="79"/>
      <c r="L51" s="79"/>
      <c r="M51" s="154"/>
      <c r="N51" s="3"/>
      <c r="O51" s="4"/>
      <c r="P51" s="21"/>
      <c r="Q51" s="21"/>
      <c r="R51" s="21"/>
      <c r="S51" s="21"/>
    </row>
    <row r="52" ht="19.5" customHeight="1">
      <c r="A52" s="90">
        <v>48.0</v>
      </c>
      <c r="B52" s="139">
        <v>45931.0</v>
      </c>
      <c r="C52" s="90">
        <v>56.0</v>
      </c>
      <c r="D52" s="93" t="s">
        <v>908</v>
      </c>
      <c r="E52" s="90" t="s">
        <v>714</v>
      </c>
      <c r="F52" s="132" t="s">
        <v>909</v>
      </c>
      <c r="G52" s="4"/>
      <c r="H52" s="90" t="s">
        <v>314</v>
      </c>
      <c r="I52" s="90" t="s">
        <v>904</v>
      </c>
      <c r="J52" s="85"/>
      <c r="K52" s="79"/>
      <c r="L52" s="79"/>
      <c r="M52" s="154"/>
      <c r="N52" s="3"/>
      <c r="O52" s="4"/>
      <c r="P52" s="21"/>
      <c r="Q52" s="21"/>
      <c r="R52" s="21"/>
      <c r="S52" s="21"/>
    </row>
    <row r="53" ht="19.5" customHeight="1">
      <c r="A53" s="90">
        <v>49.0</v>
      </c>
      <c r="B53" s="139">
        <v>45932.0</v>
      </c>
      <c r="C53" s="90">
        <v>75.0</v>
      </c>
      <c r="D53" s="93" t="s">
        <v>908</v>
      </c>
      <c r="E53" s="90" t="s">
        <v>714</v>
      </c>
      <c r="F53" s="132" t="s">
        <v>909</v>
      </c>
      <c r="G53" s="4"/>
      <c r="H53" s="90" t="s">
        <v>314</v>
      </c>
      <c r="I53" s="90" t="s">
        <v>904</v>
      </c>
      <c r="J53" s="85"/>
      <c r="K53" s="79"/>
      <c r="L53" s="79"/>
      <c r="M53" s="154"/>
      <c r="N53" s="3"/>
      <c r="O53" s="4"/>
      <c r="P53" s="21"/>
      <c r="Q53" s="21"/>
      <c r="R53" s="21"/>
      <c r="S53" s="21"/>
    </row>
    <row r="54" ht="19.5" customHeight="1">
      <c r="A54" s="90">
        <v>50.0</v>
      </c>
      <c r="B54" s="139">
        <v>45932.0</v>
      </c>
      <c r="C54" s="90">
        <v>64.0</v>
      </c>
      <c r="D54" s="93" t="s">
        <v>908</v>
      </c>
      <c r="E54" s="90" t="s">
        <v>714</v>
      </c>
      <c r="F54" s="132" t="s">
        <v>909</v>
      </c>
      <c r="G54" s="4"/>
      <c r="H54" s="90" t="s">
        <v>314</v>
      </c>
      <c r="I54" s="90" t="s">
        <v>904</v>
      </c>
      <c r="J54" s="85"/>
      <c r="K54" s="79"/>
      <c r="L54" s="79"/>
      <c r="M54" s="154"/>
      <c r="N54" s="3"/>
      <c r="O54" s="4"/>
      <c r="P54" s="21"/>
      <c r="Q54" s="21"/>
      <c r="R54" s="21"/>
      <c r="S54" s="21"/>
    </row>
    <row r="55" ht="19.5" customHeight="1">
      <c r="A55" s="90">
        <v>51.0</v>
      </c>
      <c r="B55" s="139">
        <v>45932.0</v>
      </c>
      <c r="C55" s="90">
        <v>47.0</v>
      </c>
      <c r="D55" s="93" t="s">
        <v>908</v>
      </c>
      <c r="E55" s="90" t="s">
        <v>714</v>
      </c>
      <c r="F55" s="132" t="s">
        <v>909</v>
      </c>
      <c r="G55" s="4"/>
      <c r="H55" s="90" t="s">
        <v>314</v>
      </c>
      <c r="I55" s="90" t="s">
        <v>904</v>
      </c>
      <c r="J55" s="85"/>
      <c r="K55" s="79"/>
      <c r="L55" s="79"/>
      <c r="M55" s="154"/>
      <c r="N55" s="3"/>
      <c r="O55" s="4"/>
      <c r="P55" s="21"/>
      <c r="Q55" s="21"/>
      <c r="R55" s="21"/>
      <c r="S55" s="21"/>
    </row>
    <row r="56" ht="19.5" customHeight="1">
      <c r="A56" s="90">
        <v>52.0</v>
      </c>
      <c r="B56" s="139">
        <v>45934.0</v>
      </c>
      <c r="C56" s="90">
        <v>101.0</v>
      </c>
      <c r="D56" s="93" t="s">
        <v>908</v>
      </c>
      <c r="E56" s="90" t="s">
        <v>714</v>
      </c>
      <c r="F56" s="132" t="s">
        <v>909</v>
      </c>
      <c r="G56" s="4"/>
      <c r="H56" s="90" t="s">
        <v>314</v>
      </c>
      <c r="I56" s="90" t="s">
        <v>904</v>
      </c>
      <c r="J56" s="85"/>
      <c r="K56" s="79"/>
      <c r="L56" s="79"/>
      <c r="M56" s="154"/>
      <c r="N56" s="3"/>
      <c r="O56" s="4"/>
      <c r="P56" s="21"/>
      <c r="Q56" s="21"/>
      <c r="R56" s="21"/>
      <c r="S56" s="21"/>
    </row>
    <row r="57" ht="19.5" customHeight="1">
      <c r="A57" s="90">
        <v>53.0</v>
      </c>
      <c r="B57" s="139">
        <v>45935.0</v>
      </c>
      <c r="C57" s="90">
        <v>89.0</v>
      </c>
      <c r="D57" s="93" t="s">
        <v>908</v>
      </c>
      <c r="E57" s="90" t="s">
        <v>714</v>
      </c>
      <c r="F57" s="132" t="s">
        <v>909</v>
      </c>
      <c r="G57" s="4"/>
      <c r="H57" s="90" t="s">
        <v>314</v>
      </c>
      <c r="I57" s="90" t="s">
        <v>904</v>
      </c>
      <c r="J57" s="85"/>
      <c r="K57" s="79"/>
      <c r="L57" s="79"/>
      <c r="M57" s="154"/>
      <c r="N57" s="3"/>
      <c r="O57" s="4"/>
      <c r="P57" s="21"/>
      <c r="Q57" s="21"/>
      <c r="R57" s="21"/>
      <c r="S57" s="21"/>
    </row>
    <row r="58" ht="19.5" customHeight="1">
      <c r="A58" s="90">
        <v>54.0</v>
      </c>
      <c r="B58" s="139">
        <v>45935.0</v>
      </c>
      <c r="C58" s="90">
        <v>76.0</v>
      </c>
      <c r="D58" s="93" t="s">
        <v>908</v>
      </c>
      <c r="E58" s="90" t="s">
        <v>714</v>
      </c>
      <c r="F58" s="132" t="s">
        <v>909</v>
      </c>
      <c r="G58" s="4"/>
      <c r="H58" s="90" t="s">
        <v>314</v>
      </c>
      <c r="I58" s="90" t="s">
        <v>904</v>
      </c>
      <c r="J58" s="85"/>
      <c r="K58" s="79"/>
      <c r="L58" s="79"/>
      <c r="M58" s="154"/>
      <c r="N58" s="3"/>
      <c r="O58" s="4"/>
      <c r="P58" s="21"/>
      <c r="Q58" s="21"/>
      <c r="R58" s="21"/>
      <c r="S58" s="21"/>
    </row>
    <row r="59" ht="19.5" customHeight="1">
      <c r="A59" s="90">
        <v>55.0</v>
      </c>
      <c r="B59" s="139">
        <v>45935.0</v>
      </c>
      <c r="C59" s="90">
        <v>65.0</v>
      </c>
      <c r="D59" s="93" t="s">
        <v>908</v>
      </c>
      <c r="E59" s="90" t="s">
        <v>714</v>
      </c>
      <c r="F59" s="132" t="s">
        <v>909</v>
      </c>
      <c r="G59" s="4"/>
      <c r="H59" s="90" t="s">
        <v>314</v>
      </c>
      <c r="I59" s="90" t="s">
        <v>904</v>
      </c>
      <c r="J59" s="85"/>
      <c r="K59" s="79"/>
      <c r="L59" s="79"/>
      <c r="M59" s="154"/>
      <c r="N59" s="3"/>
      <c r="O59" s="4"/>
      <c r="P59" s="21"/>
      <c r="Q59" s="21"/>
      <c r="R59" s="21"/>
      <c r="S59" s="21"/>
    </row>
    <row r="60" ht="19.5" customHeight="1">
      <c r="A60" s="90">
        <v>56.0</v>
      </c>
      <c r="B60" s="139">
        <v>45936.0</v>
      </c>
      <c r="C60" s="90">
        <v>54.0</v>
      </c>
      <c r="D60" s="93" t="s">
        <v>908</v>
      </c>
      <c r="E60" s="90" t="s">
        <v>714</v>
      </c>
      <c r="F60" s="132" t="s">
        <v>909</v>
      </c>
      <c r="G60" s="4"/>
      <c r="H60" s="90" t="s">
        <v>314</v>
      </c>
      <c r="I60" s="90" t="s">
        <v>904</v>
      </c>
      <c r="J60" s="85"/>
      <c r="K60" s="79"/>
      <c r="L60" s="79"/>
      <c r="M60" s="154"/>
      <c r="N60" s="3"/>
      <c r="O60" s="4"/>
      <c r="P60" s="21"/>
      <c r="Q60" s="21"/>
      <c r="R60" s="21"/>
      <c r="S60" s="21"/>
    </row>
    <row r="61" ht="19.5" customHeight="1">
      <c r="A61" s="90">
        <v>57.0</v>
      </c>
      <c r="B61" s="139">
        <v>45936.0</v>
      </c>
      <c r="C61" s="90">
        <v>46.0</v>
      </c>
      <c r="D61" s="93" t="s">
        <v>908</v>
      </c>
      <c r="E61" s="90" t="s">
        <v>714</v>
      </c>
      <c r="F61" s="132" t="s">
        <v>909</v>
      </c>
      <c r="G61" s="4"/>
      <c r="H61" s="90" t="s">
        <v>314</v>
      </c>
      <c r="I61" s="90" t="s">
        <v>904</v>
      </c>
      <c r="J61" s="85"/>
      <c r="K61" s="79"/>
      <c r="L61" s="79"/>
      <c r="M61" s="154"/>
      <c r="N61" s="3"/>
      <c r="O61" s="4"/>
      <c r="P61" s="21"/>
      <c r="Q61" s="21"/>
      <c r="R61" s="21"/>
      <c r="S61" s="21"/>
    </row>
    <row r="62" ht="19.5" customHeight="1">
      <c r="A62" s="90">
        <v>58.0</v>
      </c>
      <c r="B62" s="139">
        <v>45936.0</v>
      </c>
      <c r="C62" s="90">
        <v>38.0</v>
      </c>
      <c r="D62" s="93" t="s">
        <v>908</v>
      </c>
      <c r="E62" s="90" t="s">
        <v>714</v>
      </c>
      <c r="F62" s="132" t="s">
        <v>909</v>
      </c>
      <c r="G62" s="4"/>
      <c r="H62" s="90" t="s">
        <v>314</v>
      </c>
      <c r="I62" s="90" t="s">
        <v>904</v>
      </c>
      <c r="J62" s="85"/>
      <c r="K62" s="79"/>
      <c r="L62" s="79"/>
      <c r="M62" s="154"/>
      <c r="N62" s="3"/>
      <c r="O62" s="4"/>
      <c r="P62" s="21"/>
      <c r="Q62" s="21"/>
      <c r="R62" s="21"/>
      <c r="S62" s="21"/>
    </row>
    <row r="63" ht="19.5" customHeight="1">
      <c r="A63" s="90">
        <v>59.0</v>
      </c>
      <c r="B63" s="139">
        <v>45937.0</v>
      </c>
      <c r="C63" s="90">
        <v>31.0</v>
      </c>
      <c r="D63" s="93" t="s">
        <v>908</v>
      </c>
      <c r="E63" s="90" t="s">
        <v>714</v>
      </c>
      <c r="F63" s="132" t="s">
        <v>909</v>
      </c>
      <c r="G63" s="4"/>
      <c r="H63" s="90" t="s">
        <v>314</v>
      </c>
      <c r="I63" s="90" t="s">
        <v>904</v>
      </c>
      <c r="J63" s="85"/>
      <c r="K63" s="79"/>
      <c r="L63" s="79"/>
      <c r="M63" s="154"/>
      <c r="N63" s="3"/>
      <c r="O63" s="4"/>
      <c r="P63" s="21"/>
      <c r="Q63" s="21"/>
      <c r="R63" s="21"/>
      <c r="S63" s="21"/>
    </row>
    <row r="64" ht="19.5" customHeight="1">
      <c r="A64" s="90">
        <v>60.0</v>
      </c>
      <c r="B64" s="139">
        <v>45937.0</v>
      </c>
      <c r="C64" s="90">
        <v>72.0</v>
      </c>
      <c r="D64" s="93" t="s">
        <v>908</v>
      </c>
      <c r="E64" s="90" t="s">
        <v>714</v>
      </c>
      <c r="F64" s="132" t="s">
        <v>909</v>
      </c>
      <c r="G64" s="4"/>
      <c r="H64" s="90" t="s">
        <v>314</v>
      </c>
      <c r="I64" s="90" t="s">
        <v>904</v>
      </c>
      <c r="J64" s="85"/>
      <c r="K64" s="79"/>
      <c r="L64" s="79"/>
      <c r="M64" s="154"/>
      <c r="N64" s="3"/>
      <c r="O64" s="4"/>
      <c r="P64" s="21"/>
      <c r="Q64" s="21"/>
      <c r="R64" s="21"/>
      <c r="S64" s="21"/>
    </row>
    <row r="65" ht="19.5" customHeight="1">
      <c r="A65" s="90">
        <v>61.0</v>
      </c>
      <c r="B65" s="139">
        <v>45937.0</v>
      </c>
      <c r="C65" s="90">
        <v>62.0</v>
      </c>
      <c r="D65" s="93" t="s">
        <v>908</v>
      </c>
      <c r="E65" s="90" t="s">
        <v>714</v>
      </c>
      <c r="F65" s="132" t="s">
        <v>909</v>
      </c>
      <c r="G65" s="4"/>
      <c r="H65" s="90" t="s">
        <v>314</v>
      </c>
      <c r="I65" s="90" t="s">
        <v>904</v>
      </c>
      <c r="J65" s="85"/>
      <c r="K65" s="79"/>
      <c r="L65" s="79"/>
      <c r="M65" s="154"/>
      <c r="N65" s="3"/>
      <c r="O65" s="4"/>
      <c r="P65" s="21"/>
      <c r="Q65" s="21"/>
      <c r="R65" s="21"/>
      <c r="S65" s="21"/>
    </row>
    <row r="66" ht="19.5" customHeight="1">
      <c r="A66" s="90">
        <v>62.0</v>
      </c>
      <c r="B66" s="139">
        <v>45938.0</v>
      </c>
      <c r="C66" s="90">
        <v>51.0</v>
      </c>
      <c r="D66" s="93" t="s">
        <v>908</v>
      </c>
      <c r="E66" s="90" t="s">
        <v>714</v>
      </c>
      <c r="F66" s="132" t="s">
        <v>909</v>
      </c>
      <c r="G66" s="4"/>
      <c r="H66" s="90" t="s">
        <v>314</v>
      </c>
      <c r="I66" s="90" t="s">
        <v>904</v>
      </c>
      <c r="J66" s="85"/>
      <c r="K66" s="79"/>
      <c r="L66" s="79"/>
      <c r="M66" s="154"/>
      <c r="N66" s="3"/>
      <c r="O66" s="4"/>
      <c r="P66" s="21"/>
      <c r="Q66" s="21"/>
      <c r="R66" s="21"/>
      <c r="S66" s="21"/>
    </row>
    <row r="67" ht="19.5" customHeight="1">
      <c r="A67" s="90">
        <v>63.0</v>
      </c>
      <c r="B67" s="139">
        <v>45938.0</v>
      </c>
      <c r="C67" s="90">
        <v>44.0</v>
      </c>
      <c r="D67" s="93" t="s">
        <v>908</v>
      </c>
      <c r="E67" s="90" t="s">
        <v>714</v>
      </c>
      <c r="F67" s="132" t="s">
        <v>909</v>
      </c>
      <c r="G67" s="4"/>
      <c r="H67" s="90" t="s">
        <v>314</v>
      </c>
      <c r="I67" s="90" t="s">
        <v>904</v>
      </c>
      <c r="J67" s="85"/>
      <c r="K67" s="79"/>
      <c r="L67" s="79"/>
      <c r="M67" s="154"/>
      <c r="N67" s="3"/>
      <c r="O67" s="4"/>
      <c r="P67" s="21"/>
      <c r="Q67" s="21"/>
      <c r="R67" s="21"/>
      <c r="S67" s="21"/>
    </row>
    <row r="68" ht="19.5" customHeight="1">
      <c r="A68" s="90">
        <v>64.0</v>
      </c>
      <c r="B68" s="139">
        <v>45938.0</v>
      </c>
      <c r="C68" s="90">
        <v>37.0</v>
      </c>
      <c r="D68" s="93" t="s">
        <v>908</v>
      </c>
      <c r="E68" s="90" t="s">
        <v>714</v>
      </c>
      <c r="F68" s="132" t="s">
        <v>909</v>
      </c>
      <c r="G68" s="4"/>
      <c r="H68" s="90" t="s">
        <v>314</v>
      </c>
      <c r="I68" s="90" t="s">
        <v>904</v>
      </c>
      <c r="J68" s="85"/>
      <c r="K68" s="79"/>
      <c r="L68" s="79"/>
      <c r="M68" s="154"/>
      <c r="N68" s="3"/>
      <c r="O68" s="4"/>
      <c r="P68" s="21"/>
      <c r="Q68" s="21"/>
      <c r="R68" s="21"/>
      <c r="S68" s="21"/>
    </row>
    <row r="69" ht="19.5" customHeight="1">
      <c r="A69" s="90">
        <v>65.0</v>
      </c>
      <c r="B69" s="139">
        <v>45941.0</v>
      </c>
      <c r="C69" s="90">
        <v>27.0</v>
      </c>
      <c r="D69" s="93" t="s">
        <v>908</v>
      </c>
      <c r="E69" s="90" t="s">
        <v>714</v>
      </c>
      <c r="F69" s="132" t="s">
        <v>909</v>
      </c>
      <c r="G69" s="4"/>
      <c r="H69" s="90" t="s">
        <v>314</v>
      </c>
      <c r="I69" s="90" t="s">
        <v>904</v>
      </c>
      <c r="J69" s="90"/>
      <c r="K69" s="79"/>
      <c r="L69" s="79"/>
      <c r="M69" s="154"/>
      <c r="N69" s="3"/>
      <c r="O69" s="4"/>
      <c r="P69" s="21"/>
      <c r="Q69" s="21"/>
      <c r="R69" s="21"/>
      <c r="S69" s="21"/>
    </row>
    <row r="70" ht="19.5" customHeight="1">
      <c r="A70" s="90">
        <v>66.0</v>
      </c>
      <c r="B70" s="139">
        <v>45941.0</v>
      </c>
      <c r="C70" s="90">
        <v>21.0</v>
      </c>
      <c r="D70" s="93" t="s">
        <v>908</v>
      </c>
      <c r="E70" s="90" t="s">
        <v>714</v>
      </c>
      <c r="F70" s="132" t="s">
        <v>909</v>
      </c>
      <c r="G70" s="4"/>
      <c r="H70" s="90" t="s">
        <v>314</v>
      </c>
      <c r="I70" s="90" t="s">
        <v>904</v>
      </c>
      <c r="J70" s="85"/>
      <c r="K70" s="79"/>
      <c r="L70" s="79"/>
      <c r="M70" s="154"/>
      <c r="N70" s="3"/>
      <c r="O70" s="4"/>
      <c r="P70" s="21"/>
      <c r="Q70" s="21"/>
      <c r="R70" s="21"/>
      <c r="S70" s="21"/>
    </row>
    <row r="71" ht="19.5" customHeight="1">
      <c r="A71" s="90">
        <v>67.0</v>
      </c>
      <c r="B71" s="139">
        <v>45941.0</v>
      </c>
      <c r="C71" s="90">
        <v>17.0</v>
      </c>
      <c r="D71" s="93" t="s">
        <v>908</v>
      </c>
      <c r="E71" s="90" t="s">
        <v>714</v>
      </c>
      <c r="F71" s="132" t="s">
        <v>909</v>
      </c>
      <c r="G71" s="4"/>
      <c r="H71" s="90" t="s">
        <v>314</v>
      </c>
      <c r="I71" s="90" t="s">
        <v>904</v>
      </c>
      <c r="J71" s="85"/>
      <c r="K71" s="79"/>
      <c r="L71" s="79"/>
      <c r="M71" s="154"/>
      <c r="N71" s="3"/>
      <c r="O71" s="4"/>
      <c r="P71" s="21"/>
      <c r="Q71" s="21"/>
      <c r="R71" s="21"/>
      <c r="S71" s="21"/>
    </row>
    <row r="72" ht="19.5" customHeight="1">
      <c r="A72" s="90">
        <v>68.0</v>
      </c>
      <c r="B72" s="139">
        <v>45942.0</v>
      </c>
      <c r="C72" s="90">
        <v>13.0</v>
      </c>
      <c r="D72" s="93" t="s">
        <v>908</v>
      </c>
      <c r="E72" s="90" t="s">
        <v>714</v>
      </c>
      <c r="F72" s="132" t="s">
        <v>909</v>
      </c>
      <c r="G72" s="4"/>
      <c r="H72" s="90" t="s">
        <v>314</v>
      </c>
      <c r="I72" s="90" t="s">
        <v>904</v>
      </c>
      <c r="J72" s="85"/>
      <c r="K72" s="79"/>
      <c r="L72" s="79"/>
      <c r="M72" s="154"/>
      <c r="N72" s="3"/>
      <c r="O72" s="4"/>
      <c r="P72" s="21"/>
      <c r="Q72" s="21"/>
      <c r="R72" s="21"/>
      <c r="S72" s="21"/>
    </row>
    <row r="73" ht="19.5" customHeight="1">
      <c r="A73" s="90">
        <v>69.0</v>
      </c>
      <c r="B73" s="139">
        <v>45942.0</v>
      </c>
      <c r="C73" s="90">
        <v>9.0</v>
      </c>
      <c r="D73" s="93" t="s">
        <v>908</v>
      </c>
      <c r="E73" s="90" t="s">
        <v>714</v>
      </c>
      <c r="F73" s="132" t="s">
        <v>909</v>
      </c>
      <c r="G73" s="4"/>
      <c r="H73" s="90" t="s">
        <v>314</v>
      </c>
      <c r="I73" s="90" t="s">
        <v>904</v>
      </c>
      <c r="J73" s="139"/>
      <c r="K73" s="79"/>
      <c r="L73" s="79"/>
      <c r="M73" s="154"/>
      <c r="N73" s="3"/>
      <c r="O73" s="4"/>
      <c r="P73" s="21"/>
      <c r="Q73" s="21"/>
      <c r="R73" s="21"/>
      <c r="S73" s="21"/>
    </row>
    <row r="74" ht="19.5" customHeight="1">
      <c r="A74" s="90">
        <v>70.0</v>
      </c>
      <c r="B74" s="139">
        <v>45942.0</v>
      </c>
      <c r="C74" s="90">
        <v>5.0</v>
      </c>
      <c r="D74" s="93" t="s">
        <v>908</v>
      </c>
      <c r="E74" s="90" t="s">
        <v>714</v>
      </c>
      <c r="F74" s="132" t="s">
        <v>909</v>
      </c>
      <c r="G74" s="4"/>
      <c r="H74" s="90" t="s">
        <v>314</v>
      </c>
      <c r="I74" s="90" t="s">
        <v>904</v>
      </c>
      <c r="J74" s="85"/>
      <c r="K74" s="79"/>
      <c r="L74" s="79"/>
      <c r="M74" s="154"/>
      <c r="N74" s="3"/>
      <c r="O74" s="4"/>
      <c r="P74" s="21"/>
      <c r="Q74" s="21"/>
      <c r="R74" s="21"/>
      <c r="S74" s="21"/>
    </row>
    <row r="75" ht="19.5" customHeight="1">
      <c r="A75" s="90">
        <v>71.0</v>
      </c>
      <c r="B75" s="139">
        <v>45943.0</v>
      </c>
      <c r="C75" s="90">
        <v>2.0</v>
      </c>
      <c r="D75" s="93" t="s">
        <v>908</v>
      </c>
      <c r="E75" s="90" t="s">
        <v>714</v>
      </c>
      <c r="F75" s="132" t="s">
        <v>909</v>
      </c>
      <c r="G75" s="4"/>
      <c r="H75" s="90" t="s">
        <v>314</v>
      </c>
      <c r="I75" s="90" t="s">
        <v>904</v>
      </c>
      <c r="J75" s="85"/>
      <c r="K75" s="79"/>
      <c r="L75" s="79"/>
      <c r="M75" s="154"/>
      <c r="N75" s="3"/>
      <c r="O75" s="4"/>
      <c r="P75" s="21"/>
      <c r="Q75" s="21"/>
      <c r="R75" s="21"/>
      <c r="S75" s="21"/>
    </row>
    <row r="76" ht="19.5" customHeight="1">
      <c r="A76" s="90">
        <v>72.0</v>
      </c>
      <c r="B76" s="139">
        <v>45944.0</v>
      </c>
      <c r="C76" s="90">
        <v>126.0</v>
      </c>
      <c r="D76" s="93" t="s">
        <v>908</v>
      </c>
      <c r="E76" s="90" t="s">
        <v>714</v>
      </c>
      <c r="F76" s="132" t="s">
        <v>909</v>
      </c>
      <c r="G76" s="4"/>
      <c r="H76" s="90" t="s">
        <v>314</v>
      </c>
      <c r="I76" s="90" t="s">
        <v>904</v>
      </c>
      <c r="J76" s="85"/>
      <c r="K76" s="79"/>
      <c r="L76" s="79"/>
      <c r="M76" s="154"/>
      <c r="N76" s="3"/>
      <c r="O76" s="4"/>
      <c r="P76" s="21"/>
      <c r="Q76" s="21"/>
      <c r="R76" s="21"/>
      <c r="S76" s="21"/>
    </row>
    <row r="77" ht="19.5" customHeight="1">
      <c r="A77" s="90">
        <v>73.0</v>
      </c>
      <c r="B77" s="139">
        <v>45945.0</v>
      </c>
      <c r="C77" s="90">
        <v>73.0</v>
      </c>
      <c r="D77" s="93" t="s">
        <v>908</v>
      </c>
      <c r="E77" s="90" t="s">
        <v>714</v>
      </c>
      <c r="F77" s="132" t="s">
        <v>909</v>
      </c>
      <c r="G77" s="4"/>
      <c r="H77" s="90" t="s">
        <v>314</v>
      </c>
      <c r="I77" s="90" t="s">
        <v>904</v>
      </c>
      <c r="J77" s="85"/>
      <c r="K77" s="79"/>
      <c r="L77" s="79"/>
      <c r="M77" s="154"/>
      <c r="N77" s="3"/>
      <c r="O77" s="4"/>
      <c r="P77" s="21"/>
      <c r="Q77" s="21"/>
      <c r="R77" s="21"/>
      <c r="S77" s="21"/>
    </row>
    <row r="78" ht="19.5" customHeight="1">
      <c r="A78" s="90">
        <v>74.0</v>
      </c>
      <c r="B78" s="139">
        <v>45945.0</v>
      </c>
      <c r="C78" s="90">
        <v>63.0</v>
      </c>
      <c r="D78" s="93" t="s">
        <v>908</v>
      </c>
      <c r="E78" s="90" t="s">
        <v>714</v>
      </c>
      <c r="F78" s="132" t="s">
        <v>909</v>
      </c>
      <c r="G78" s="4"/>
      <c r="H78" s="90" t="s">
        <v>314</v>
      </c>
      <c r="I78" s="90" t="s">
        <v>904</v>
      </c>
      <c r="J78" s="85"/>
      <c r="K78" s="79"/>
      <c r="L78" s="79"/>
      <c r="M78" s="154"/>
      <c r="N78" s="3"/>
      <c r="O78" s="4"/>
      <c r="P78" s="21"/>
      <c r="Q78" s="21"/>
      <c r="R78" s="21"/>
      <c r="S78" s="21"/>
    </row>
    <row r="79" ht="19.5" customHeight="1">
      <c r="A79" s="90">
        <v>75.0</v>
      </c>
      <c r="B79" s="139">
        <v>45946.0</v>
      </c>
      <c r="C79" s="90">
        <v>52.0</v>
      </c>
      <c r="D79" s="93" t="s">
        <v>908</v>
      </c>
      <c r="E79" s="90" t="s">
        <v>714</v>
      </c>
      <c r="F79" s="132" t="s">
        <v>909</v>
      </c>
      <c r="G79" s="4"/>
      <c r="H79" s="90" t="s">
        <v>314</v>
      </c>
      <c r="I79" s="90" t="s">
        <v>904</v>
      </c>
      <c r="J79" s="138"/>
      <c r="K79" s="79"/>
      <c r="L79" s="79"/>
      <c r="M79" s="154"/>
      <c r="N79" s="3"/>
      <c r="O79" s="4"/>
      <c r="P79" s="21"/>
      <c r="Q79" s="21"/>
      <c r="R79" s="21"/>
      <c r="S79" s="21"/>
    </row>
    <row r="80" ht="19.5" customHeight="1">
      <c r="A80" s="90">
        <v>76.0</v>
      </c>
      <c r="B80" s="139">
        <v>45946.0</v>
      </c>
      <c r="C80" s="90">
        <v>45.0</v>
      </c>
      <c r="D80" s="93" t="s">
        <v>908</v>
      </c>
      <c r="E80" s="90" t="s">
        <v>714</v>
      </c>
      <c r="F80" s="132" t="s">
        <v>909</v>
      </c>
      <c r="G80" s="4"/>
      <c r="H80" s="90" t="s">
        <v>314</v>
      </c>
      <c r="I80" s="90" t="s">
        <v>904</v>
      </c>
      <c r="J80" s="85"/>
      <c r="K80" s="79"/>
      <c r="L80" s="79"/>
      <c r="M80" s="154"/>
      <c r="N80" s="3"/>
      <c r="O80" s="4"/>
      <c r="P80" s="21"/>
      <c r="Q80" s="21"/>
      <c r="R80" s="21"/>
      <c r="S80" s="21"/>
    </row>
    <row r="81" ht="19.5" customHeight="1">
      <c r="A81" s="90">
        <v>77.0</v>
      </c>
      <c r="B81" s="139">
        <v>45948.0</v>
      </c>
      <c r="C81" s="90">
        <v>35.0</v>
      </c>
      <c r="D81" s="93" t="s">
        <v>908</v>
      </c>
      <c r="E81" s="90" t="s">
        <v>714</v>
      </c>
      <c r="F81" s="132" t="s">
        <v>909</v>
      </c>
      <c r="G81" s="4"/>
      <c r="H81" s="90" t="s">
        <v>314</v>
      </c>
      <c r="I81" s="90" t="s">
        <v>904</v>
      </c>
      <c r="J81" s="85"/>
      <c r="K81" s="79"/>
      <c r="L81" s="79"/>
      <c r="M81" s="154"/>
      <c r="N81" s="3"/>
      <c r="O81" s="4"/>
      <c r="P81" s="21"/>
      <c r="Q81" s="21"/>
      <c r="R81" s="21"/>
      <c r="S81" s="21"/>
    </row>
    <row r="82" ht="19.5" customHeight="1">
      <c r="A82" s="90">
        <v>78.0</v>
      </c>
      <c r="B82" s="139">
        <v>45948.0</v>
      </c>
      <c r="C82" s="90">
        <v>28.0</v>
      </c>
      <c r="D82" s="93" t="s">
        <v>908</v>
      </c>
      <c r="E82" s="90" t="s">
        <v>714</v>
      </c>
      <c r="F82" s="132" t="s">
        <v>909</v>
      </c>
      <c r="G82" s="4"/>
      <c r="H82" s="90" t="s">
        <v>314</v>
      </c>
      <c r="I82" s="90" t="s">
        <v>904</v>
      </c>
      <c r="J82" s="85"/>
      <c r="K82" s="79"/>
      <c r="L82" s="79"/>
      <c r="M82" s="154"/>
      <c r="N82" s="3"/>
      <c r="O82" s="4"/>
      <c r="P82" s="21"/>
      <c r="Q82" s="21"/>
      <c r="R82" s="21"/>
      <c r="S82" s="21"/>
    </row>
    <row r="83" ht="19.5" customHeight="1">
      <c r="A83" s="90">
        <v>79.0</v>
      </c>
      <c r="B83" s="139">
        <v>45949.0</v>
      </c>
      <c r="C83" s="90">
        <v>24.0</v>
      </c>
      <c r="D83" s="93" t="s">
        <v>908</v>
      </c>
      <c r="E83" s="90" t="s">
        <v>714</v>
      </c>
      <c r="F83" s="132" t="s">
        <v>909</v>
      </c>
      <c r="G83" s="4"/>
      <c r="H83" s="90" t="s">
        <v>314</v>
      </c>
      <c r="I83" s="90" t="s">
        <v>904</v>
      </c>
      <c r="J83" s="90"/>
      <c r="K83" s="79"/>
      <c r="L83" s="79"/>
      <c r="M83" s="154"/>
      <c r="N83" s="3"/>
      <c r="O83" s="4"/>
      <c r="P83" s="21"/>
      <c r="Q83" s="21"/>
      <c r="R83" s="21"/>
      <c r="S83" s="21"/>
    </row>
    <row r="84" ht="19.5" customHeight="1">
      <c r="A84" s="90">
        <v>80.0</v>
      </c>
      <c r="B84" s="139">
        <v>45949.0</v>
      </c>
      <c r="C84" s="90">
        <v>20.0</v>
      </c>
      <c r="D84" s="93" t="s">
        <v>908</v>
      </c>
      <c r="E84" s="90" t="s">
        <v>714</v>
      </c>
      <c r="F84" s="132" t="s">
        <v>909</v>
      </c>
      <c r="G84" s="4"/>
      <c r="H84" s="90" t="s">
        <v>314</v>
      </c>
      <c r="I84" s="90" t="s">
        <v>904</v>
      </c>
      <c r="J84" s="85"/>
      <c r="K84" s="79"/>
      <c r="L84" s="79"/>
      <c r="M84" s="154"/>
      <c r="N84" s="3"/>
      <c r="O84" s="4"/>
      <c r="P84" s="21"/>
      <c r="Q84" s="21"/>
      <c r="R84" s="21"/>
      <c r="S84" s="21"/>
    </row>
    <row r="85" ht="19.5" customHeight="1">
      <c r="A85" s="90">
        <v>81.0</v>
      </c>
      <c r="B85" s="139">
        <v>45950.0</v>
      </c>
      <c r="C85" s="90">
        <v>15.0</v>
      </c>
      <c r="D85" s="93" t="s">
        <v>908</v>
      </c>
      <c r="E85" s="90" t="s">
        <v>714</v>
      </c>
      <c r="F85" s="132" t="s">
        <v>909</v>
      </c>
      <c r="G85" s="4"/>
      <c r="H85" s="90" t="s">
        <v>314</v>
      </c>
      <c r="I85" s="90" t="s">
        <v>904</v>
      </c>
      <c r="J85" s="90"/>
      <c r="K85" s="79"/>
      <c r="L85" s="79"/>
      <c r="M85" s="154"/>
      <c r="N85" s="3"/>
      <c r="O85" s="4"/>
      <c r="P85" s="21"/>
      <c r="Q85" s="21"/>
      <c r="R85" s="21"/>
      <c r="S85" s="21"/>
    </row>
    <row r="86" ht="19.5" customHeight="1">
      <c r="A86" s="90">
        <v>82.0</v>
      </c>
      <c r="B86" s="139">
        <v>45950.0</v>
      </c>
      <c r="C86" s="90">
        <v>12.0</v>
      </c>
      <c r="D86" s="93" t="s">
        <v>908</v>
      </c>
      <c r="E86" s="90" t="s">
        <v>714</v>
      </c>
      <c r="F86" s="132" t="s">
        <v>909</v>
      </c>
      <c r="G86" s="4"/>
      <c r="H86" s="90" t="s">
        <v>314</v>
      </c>
      <c r="I86" s="90" t="s">
        <v>904</v>
      </c>
      <c r="J86" s="90"/>
      <c r="K86" s="79"/>
      <c r="L86" s="79"/>
      <c r="M86" s="154"/>
      <c r="N86" s="3"/>
      <c r="O86" s="4"/>
      <c r="P86" s="21"/>
      <c r="Q86" s="21"/>
      <c r="R86" s="21"/>
      <c r="S86" s="21"/>
    </row>
    <row r="87" ht="19.5" customHeight="1">
      <c r="A87" s="90">
        <v>83.0</v>
      </c>
      <c r="B87" s="139">
        <v>45967.0</v>
      </c>
      <c r="C87" s="90">
        <v>127.0</v>
      </c>
      <c r="D87" s="93" t="s">
        <v>908</v>
      </c>
      <c r="E87" s="90" t="s">
        <v>714</v>
      </c>
      <c r="F87" s="132" t="s">
        <v>909</v>
      </c>
      <c r="G87" s="4"/>
      <c r="H87" s="90" t="s">
        <v>314</v>
      </c>
      <c r="I87" s="90" t="s">
        <v>904</v>
      </c>
      <c r="J87" s="85"/>
      <c r="K87" s="79"/>
      <c r="L87" s="79"/>
      <c r="M87" s="154"/>
      <c r="N87" s="3"/>
      <c r="O87" s="4"/>
      <c r="P87" s="21"/>
      <c r="Q87" s="21"/>
      <c r="R87" s="21"/>
      <c r="S87" s="21"/>
    </row>
    <row r="88" ht="19.5" customHeight="1">
      <c r="A88" s="90">
        <v>84.0</v>
      </c>
      <c r="B88" s="139">
        <v>45972.0</v>
      </c>
      <c r="C88" s="90">
        <v>37.0</v>
      </c>
      <c r="D88" s="93" t="s">
        <v>914</v>
      </c>
      <c r="E88" s="90" t="s">
        <v>915</v>
      </c>
      <c r="F88" s="132" t="s">
        <v>916</v>
      </c>
      <c r="G88" s="4"/>
      <c r="H88" s="90" t="s">
        <v>917</v>
      </c>
      <c r="I88" s="90" t="s">
        <v>904</v>
      </c>
      <c r="J88" s="85"/>
      <c r="K88" s="79"/>
      <c r="L88" s="79"/>
      <c r="M88" s="154"/>
      <c r="N88" s="3"/>
      <c r="O88" s="4"/>
      <c r="P88" s="21"/>
      <c r="Q88" s="21"/>
      <c r="R88" s="21"/>
      <c r="S88" s="21"/>
    </row>
    <row r="89" ht="19.5" customHeight="1">
      <c r="A89" s="90">
        <v>85.0</v>
      </c>
      <c r="B89" s="139">
        <v>45972.0</v>
      </c>
      <c r="C89" s="90">
        <v>44.0</v>
      </c>
      <c r="D89" s="93" t="s">
        <v>914</v>
      </c>
      <c r="E89" s="90" t="s">
        <v>915</v>
      </c>
      <c r="F89" s="132" t="s">
        <v>916</v>
      </c>
      <c r="G89" s="4"/>
      <c r="H89" s="90" t="s">
        <v>917</v>
      </c>
      <c r="I89" s="90" t="s">
        <v>904</v>
      </c>
      <c r="J89" s="139"/>
      <c r="K89" s="79"/>
      <c r="L89" s="79"/>
      <c r="M89" s="154"/>
      <c r="N89" s="3"/>
      <c r="O89" s="4"/>
      <c r="P89" s="21"/>
      <c r="Q89" s="21"/>
      <c r="R89" s="21"/>
      <c r="S89" s="21"/>
    </row>
    <row r="90" ht="19.5" customHeight="1">
      <c r="A90" s="90">
        <v>86.0</v>
      </c>
      <c r="B90" s="139">
        <v>45972.0</v>
      </c>
      <c r="C90" s="90">
        <v>51.0</v>
      </c>
      <c r="D90" s="93" t="s">
        <v>914</v>
      </c>
      <c r="E90" s="90" t="s">
        <v>915</v>
      </c>
      <c r="F90" s="132" t="s">
        <v>916</v>
      </c>
      <c r="G90" s="4"/>
      <c r="H90" s="90" t="s">
        <v>917</v>
      </c>
      <c r="I90" s="90" t="s">
        <v>904</v>
      </c>
      <c r="J90" s="85"/>
      <c r="K90" s="79"/>
      <c r="L90" s="79"/>
      <c r="M90" s="154"/>
      <c r="N90" s="3"/>
      <c r="O90" s="4"/>
      <c r="P90" s="21"/>
      <c r="Q90" s="21"/>
      <c r="R90" s="21"/>
      <c r="S90" s="21"/>
    </row>
    <row r="91" ht="19.5" customHeight="1">
      <c r="A91" s="90">
        <v>87.0</v>
      </c>
      <c r="B91" s="139">
        <v>45972.0</v>
      </c>
      <c r="C91" s="90">
        <v>62.0</v>
      </c>
      <c r="D91" s="93" t="s">
        <v>914</v>
      </c>
      <c r="E91" s="90" t="s">
        <v>915</v>
      </c>
      <c r="F91" s="132" t="s">
        <v>916</v>
      </c>
      <c r="G91" s="4"/>
      <c r="H91" s="90" t="s">
        <v>917</v>
      </c>
      <c r="I91" s="90" t="s">
        <v>904</v>
      </c>
      <c r="J91" s="85"/>
      <c r="K91" s="79"/>
      <c r="L91" s="79"/>
      <c r="M91" s="154"/>
      <c r="N91" s="3"/>
      <c r="O91" s="4"/>
      <c r="P91" s="21"/>
      <c r="Q91" s="21"/>
      <c r="R91" s="21"/>
      <c r="S91" s="21"/>
    </row>
    <row r="92" ht="19.5" customHeight="1">
      <c r="A92" s="90">
        <v>88.0</v>
      </c>
      <c r="B92" s="139">
        <v>45972.0</v>
      </c>
      <c r="C92" s="90">
        <v>72.0</v>
      </c>
      <c r="D92" s="93" t="s">
        <v>914</v>
      </c>
      <c r="E92" s="90" t="s">
        <v>915</v>
      </c>
      <c r="F92" s="132" t="s">
        <v>916</v>
      </c>
      <c r="G92" s="4"/>
      <c r="H92" s="90" t="s">
        <v>917</v>
      </c>
      <c r="I92" s="90" t="s">
        <v>904</v>
      </c>
      <c r="J92" s="85"/>
      <c r="K92" s="79"/>
      <c r="L92" s="79"/>
      <c r="M92" s="154"/>
      <c r="N92" s="3"/>
      <c r="O92" s="4"/>
      <c r="P92" s="21"/>
      <c r="Q92" s="21"/>
      <c r="R92" s="21"/>
      <c r="S92" s="21"/>
    </row>
    <row r="93" ht="19.5" customHeight="1">
      <c r="A93" s="90">
        <v>89.0</v>
      </c>
      <c r="B93" s="139">
        <v>45973.0</v>
      </c>
      <c r="C93" s="90">
        <v>2.0</v>
      </c>
      <c r="D93" s="93" t="s">
        <v>914</v>
      </c>
      <c r="E93" s="90" t="s">
        <v>915</v>
      </c>
      <c r="F93" s="132" t="s">
        <v>916</v>
      </c>
      <c r="G93" s="4"/>
      <c r="H93" s="90" t="s">
        <v>917</v>
      </c>
      <c r="I93" s="90" t="s">
        <v>904</v>
      </c>
      <c r="J93" s="85"/>
      <c r="K93" s="79"/>
      <c r="L93" s="79"/>
      <c r="M93" s="154"/>
      <c r="N93" s="3"/>
      <c r="O93" s="4"/>
      <c r="P93" s="21"/>
      <c r="Q93" s="21"/>
      <c r="R93" s="21"/>
      <c r="S93" s="21"/>
    </row>
    <row r="94" ht="19.5" customHeight="1">
      <c r="A94" s="90">
        <v>90.0</v>
      </c>
      <c r="B94" s="139">
        <v>45973.0</v>
      </c>
      <c r="C94" s="90">
        <v>9.0</v>
      </c>
      <c r="D94" s="93" t="s">
        <v>914</v>
      </c>
      <c r="E94" s="90" t="s">
        <v>915</v>
      </c>
      <c r="F94" s="132" t="s">
        <v>916</v>
      </c>
      <c r="G94" s="4"/>
      <c r="H94" s="90" t="s">
        <v>917</v>
      </c>
      <c r="I94" s="90" t="s">
        <v>904</v>
      </c>
      <c r="J94" s="85"/>
      <c r="K94" s="79"/>
      <c r="L94" s="79"/>
      <c r="M94" s="154"/>
      <c r="N94" s="3"/>
      <c r="O94" s="4"/>
      <c r="P94" s="21"/>
      <c r="Q94" s="21"/>
      <c r="R94" s="21"/>
      <c r="S94" s="21"/>
    </row>
    <row r="95" ht="19.5" customHeight="1">
      <c r="A95" s="90">
        <v>91.0</v>
      </c>
      <c r="B95" s="139">
        <v>45973.0</v>
      </c>
      <c r="C95" s="90">
        <v>13.0</v>
      </c>
      <c r="D95" s="93" t="s">
        <v>914</v>
      </c>
      <c r="E95" s="90" t="s">
        <v>915</v>
      </c>
      <c r="F95" s="132" t="s">
        <v>916</v>
      </c>
      <c r="G95" s="4"/>
      <c r="H95" s="90" t="s">
        <v>917</v>
      </c>
      <c r="I95" s="90" t="s">
        <v>904</v>
      </c>
      <c r="J95" s="85"/>
      <c r="K95" s="79"/>
      <c r="L95" s="79"/>
      <c r="M95" s="154"/>
      <c r="N95" s="3"/>
      <c r="O95" s="4"/>
      <c r="P95" s="21"/>
      <c r="Q95" s="21"/>
      <c r="R95" s="21"/>
      <c r="S95" s="21"/>
    </row>
    <row r="96" ht="19.5" customHeight="1">
      <c r="A96" s="90">
        <v>92.0</v>
      </c>
      <c r="B96" s="139">
        <v>45973.0</v>
      </c>
      <c r="C96" s="90">
        <v>21.0</v>
      </c>
      <c r="D96" s="93" t="s">
        <v>914</v>
      </c>
      <c r="E96" s="90" t="s">
        <v>915</v>
      </c>
      <c r="F96" s="132" t="s">
        <v>916</v>
      </c>
      <c r="G96" s="4"/>
      <c r="H96" s="90" t="s">
        <v>917</v>
      </c>
      <c r="I96" s="90" t="s">
        <v>904</v>
      </c>
      <c r="J96" s="85"/>
      <c r="K96" s="79"/>
      <c r="L96" s="79"/>
      <c r="M96" s="154"/>
      <c r="N96" s="3"/>
      <c r="O96" s="4"/>
      <c r="P96" s="21"/>
      <c r="Q96" s="21"/>
      <c r="R96" s="21"/>
      <c r="S96" s="21"/>
    </row>
    <row r="97" ht="19.5" customHeight="1">
      <c r="A97" s="90">
        <v>93.0</v>
      </c>
      <c r="B97" s="139">
        <v>45973.0</v>
      </c>
      <c r="C97" s="90">
        <v>125.0</v>
      </c>
      <c r="D97" s="93" t="s">
        <v>914</v>
      </c>
      <c r="E97" s="90" t="s">
        <v>915</v>
      </c>
      <c r="F97" s="132" t="s">
        <v>916</v>
      </c>
      <c r="G97" s="4"/>
      <c r="H97" s="90" t="s">
        <v>917</v>
      </c>
      <c r="I97" s="90" t="s">
        <v>904</v>
      </c>
      <c r="J97" s="85"/>
      <c r="K97" s="79"/>
      <c r="L97" s="79"/>
      <c r="M97" s="154"/>
      <c r="N97" s="3"/>
      <c r="O97" s="4"/>
      <c r="P97" s="21"/>
      <c r="Q97" s="21"/>
      <c r="R97" s="21"/>
      <c r="S97" s="21"/>
    </row>
    <row r="98" ht="19.5" customHeight="1">
      <c r="A98" s="90">
        <v>94.0</v>
      </c>
      <c r="B98" s="139">
        <v>45973.0</v>
      </c>
      <c r="C98" s="90">
        <v>5.0</v>
      </c>
      <c r="D98" s="93" t="s">
        <v>914</v>
      </c>
      <c r="E98" s="90" t="s">
        <v>915</v>
      </c>
      <c r="F98" s="132" t="s">
        <v>916</v>
      </c>
      <c r="G98" s="4"/>
      <c r="H98" s="90" t="s">
        <v>917</v>
      </c>
      <c r="I98" s="90" t="s">
        <v>904</v>
      </c>
      <c r="J98" s="85"/>
      <c r="K98" s="79"/>
      <c r="L98" s="79"/>
      <c r="M98" s="154"/>
      <c r="N98" s="3"/>
      <c r="O98" s="4"/>
      <c r="P98" s="21"/>
      <c r="Q98" s="21"/>
      <c r="R98" s="21"/>
      <c r="S98" s="21"/>
    </row>
    <row r="99" ht="19.5" customHeight="1">
      <c r="A99" s="90">
        <v>95.0</v>
      </c>
      <c r="B99" s="139">
        <v>45973.0</v>
      </c>
      <c r="C99" s="90">
        <v>17.0</v>
      </c>
      <c r="D99" s="93" t="s">
        <v>914</v>
      </c>
      <c r="E99" s="90" t="s">
        <v>915</v>
      </c>
      <c r="F99" s="132" t="s">
        <v>916</v>
      </c>
      <c r="G99" s="4"/>
      <c r="H99" s="90" t="s">
        <v>917</v>
      </c>
      <c r="I99" s="90" t="s">
        <v>904</v>
      </c>
      <c r="J99" s="85"/>
      <c r="K99" s="79"/>
      <c r="L99" s="79"/>
      <c r="M99" s="154"/>
      <c r="N99" s="3"/>
      <c r="O99" s="4"/>
      <c r="P99" s="21"/>
      <c r="Q99" s="21"/>
      <c r="R99" s="21"/>
      <c r="S99" s="21"/>
    </row>
    <row r="100" ht="19.5" customHeight="1">
      <c r="A100" s="90">
        <v>96.0</v>
      </c>
      <c r="B100" s="139">
        <v>45974.0</v>
      </c>
      <c r="C100" s="90">
        <v>1.0</v>
      </c>
      <c r="D100" s="93" t="s">
        <v>908</v>
      </c>
      <c r="E100" s="90" t="s">
        <v>714</v>
      </c>
      <c r="F100" s="132" t="s">
        <v>909</v>
      </c>
      <c r="G100" s="4"/>
      <c r="H100" s="90" t="s">
        <v>314</v>
      </c>
      <c r="I100" s="90" t="s">
        <v>904</v>
      </c>
      <c r="J100" s="90"/>
      <c r="K100" s="79"/>
      <c r="L100" s="79"/>
      <c r="M100" s="154"/>
      <c r="N100" s="3"/>
      <c r="O100" s="4"/>
      <c r="P100" s="21"/>
      <c r="Q100" s="21"/>
      <c r="R100" s="21"/>
      <c r="S100" s="21"/>
    </row>
    <row r="101" ht="19.5" customHeight="1">
      <c r="A101" s="90">
        <v>97.0</v>
      </c>
      <c r="B101" s="139">
        <v>45974.0</v>
      </c>
      <c r="C101" s="90">
        <v>3.0</v>
      </c>
      <c r="D101" s="93" t="s">
        <v>908</v>
      </c>
      <c r="E101" s="90" t="s">
        <v>714</v>
      </c>
      <c r="F101" s="132" t="s">
        <v>909</v>
      </c>
      <c r="G101" s="4"/>
      <c r="H101" s="90" t="s">
        <v>314</v>
      </c>
      <c r="I101" s="90" t="s">
        <v>904</v>
      </c>
      <c r="J101" s="85"/>
      <c r="K101" s="79"/>
      <c r="L101" s="79"/>
      <c r="M101" s="154"/>
      <c r="N101" s="3"/>
      <c r="O101" s="4"/>
      <c r="P101" s="21"/>
      <c r="Q101" s="21"/>
      <c r="R101" s="21"/>
      <c r="S101" s="21"/>
    </row>
    <row r="102" ht="19.5" customHeight="1">
      <c r="A102" s="90">
        <v>98.0</v>
      </c>
      <c r="B102" s="139">
        <v>45974.0</v>
      </c>
      <c r="C102" s="90">
        <v>6.0</v>
      </c>
      <c r="D102" s="93" t="s">
        <v>908</v>
      </c>
      <c r="E102" s="90" t="s">
        <v>714</v>
      </c>
      <c r="F102" s="132" t="s">
        <v>909</v>
      </c>
      <c r="G102" s="4"/>
      <c r="H102" s="90" t="s">
        <v>314</v>
      </c>
      <c r="I102" s="90" t="s">
        <v>904</v>
      </c>
      <c r="J102" s="85"/>
      <c r="K102" s="79"/>
      <c r="L102" s="79"/>
      <c r="M102" s="154"/>
      <c r="N102" s="3"/>
      <c r="O102" s="4"/>
      <c r="P102" s="21"/>
      <c r="Q102" s="21"/>
      <c r="R102" s="21"/>
      <c r="S102" s="21"/>
    </row>
    <row r="103" ht="19.5" customHeight="1">
      <c r="A103" s="90">
        <v>99.0</v>
      </c>
      <c r="B103" s="139">
        <v>45974.0</v>
      </c>
      <c r="C103" s="90">
        <v>8.0</v>
      </c>
      <c r="D103" s="93" t="s">
        <v>908</v>
      </c>
      <c r="E103" s="90" t="s">
        <v>714</v>
      </c>
      <c r="F103" s="132" t="s">
        <v>909</v>
      </c>
      <c r="G103" s="4"/>
      <c r="H103" s="90" t="s">
        <v>314</v>
      </c>
      <c r="I103" s="90" t="s">
        <v>904</v>
      </c>
      <c r="J103" s="85"/>
      <c r="K103" s="79"/>
      <c r="L103" s="79"/>
      <c r="M103" s="154"/>
      <c r="N103" s="3"/>
      <c r="O103" s="4"/>
      <c r="P103" s="21"/>
      <c r="Q103" s="21"/>
      <c r="R103" s="21"/>
      <c r="S103" s="21"/>
    </row>
    <row r="104" ht="19.5" customHeight="1">
      <c r="A104" s="90">
        <v>100.0</v>
      </c>
      <c r="B104" s="139">
        <v>45978.0</v>
      </c>
      <c r="C104" s="90">
        <v>23.0</v>
      </c>
      <c r="D104" s="93" t="s">
        <v>908</v>
      </c>
      <c r="E104" s="90" t="s">
        <v>714</v>
      </c>
      <c r="F104" s="132" t="s">
        <v>909</v>
      </c>
      <c r="G104" s="4"/>
      <c r="H104" s="90" t="s">
        <v>314</v>
      </c>
      <c r="I104" s="90" t="s">
        <v>904</v>
      </c>
      <c r="J104" s="85"/>
      <c r="K104" s="79"/>
      <c r="L104" s="79"/>
      <c r="M104" s="154"/>
      <c r="N104" s="3"/>
      <c r="O104" s="4"/>
      <c r="P104" s="21"/>
      <c r="Q104" s="21"/>
      <c r="R104" s="21"/>
      <c r="S104" s="21"/>
    </row>
    <row r="105" ht="19.5" customHeight="1">
      <c r="A105" s="90">
        <v>101.0</v>
      </c>
      <c r="B105" s="139">
        <v>45979.0</v>
      </c>
      <c r="C105" s="90">
        <v>29.0</v>
      </c>
      <c r="D105" s="93" t="s">
        <v>908</v>
      </c>
      <c r="E105" s="90" t="s">
        <v>714</v>
      </c>
      <c r="F105" s="132" t="s">
        <v>909</v>
      </c>
      <c r="G105" s="4"/>
      <c r="H105" s="90" t="s">
        <v>314</v>
      </c>
      <c r="I105" s="90" t="s">
        <v>904</v>
      </c>
      <c r="J105" s="85"/>
      <c r="K105" s="79"/>
      <c r="L105" s="79"/>
      <c r="M105" s="154"/>
      <c r="N105" s="3"/>
      <c r="O105" s="4"/>
      <c r="P105" s="21"/>
      <c r="Q105" s="21"/>
      <c r="R105" s="21"/>
      <c r="S105" s="21"/>
    </row>
    <row r="106" ht="19.5" customHeight="1">
      <c r="A106" s="90">
        <v>102.0</v>
      </c>
      <c r="B106" s="139">
        <v>45979.0</v>
      </c>
      <c r="C106" s="90">
        <v>36.0</v>
      </c>
      <c r="D106" s="93" t="s">
        <v>908</v>
      </c>
      <c r="E106" s="90" t="s">
        <v>714</v>
      </c>
      <c r="F106" s="132" t="s">
        <v>909</v>
      </c>
      <c r="G106" s="4"/>
      <c r="H106" s="90" t="s">
        <v>314</v>
      </c>
      <c r="I106" s="90" t="s">
        <v>904</v>
      </c>
      <c r="J106" s="85"/>
      <c r="K106" s="79"/>
      <c r="L106" s="79"/>
      <c r="M106" s="154"/>
      <c r="N106" s="3"/>
      <c r="O106" s="4"/>
      <c r="P106" s="21"/>
      <c r="Q106" s="21"/>
      <c r="R106" s="21"/>
      <c r="S106" s="21"/>
    </row>
    <row r="107" ht="19.5" customHeight="1">
      <c r="A107" s="90">
        <v>103.0</v>
      </c>
      <c r="B107" s="139">
        <v>45979.0</v>
      </c>
      <c r="C107" s="90">
        <v>42.0</v>
      </c>
      <c r="D107" s="93" t="s">
        <v>908</v>
      </c>
      <c r="E107" s="90" t="s">
        <v>714</v>
      </c>
      <c r="F107" s="132" t="s">
        <v>909</v>
      </c>
      <c r="G107" s="4"/>
      <c r="H107" s="90" t="s">
        <v>314</v>
      </c>
      <c r="I107" s="90" t="s">
        <v>904</v>
      </c>
      <c r="J107" s="85"/>
      <c r="K107" s="79"/>
      <c r="L107" s="79"/>
      <c r="M107" s="154"/>
      <c r="N107" s="3"/>
      <c r="O107" s="4"/>
      <c r="P107" s="21"/>
      <c r="Q107" s="21"/>
      <c r="R107" s="21"/>
      <c r="S107" s="21"/>
    </row>
    <row r="108" ht="19.5" customHeight="1">
      <c r="A108" s="90">
        <v>104.0</v>
      </c>
      <c r="B108" s="139">
        <v>45979.0</v>
      </c>
      <c r="C108" s="90">
        <v>53.0</v>
      </c>
      <c r="D108" s="93" t="s">
        <v>908</v>
      </c>
      <c r="E108" s="90" t="s">
        <v>714</v>
      </c>
      <c r="F108" s="132" t="s">
        <v>909</v>
      </c>
      <c r="G108" s="4"/>
      <c r="H108" s="90" t="s">
        <v>314</v>
      </c>
      <c r="I108" s="90" t="s">
        <v>904</v>
      </c>
      <c r="J108" s="85"/>
      <c r="K108" s="79"/>
      <c r="L108" s="79"/>
      <c r="M108" s="154"/>
      <c r="N108" s="3"/>
      <c r="O108" s="4"/>
      <c r="P108" s="21"/>
      <c r="Q108" s="21"/>
      <c r="R108" s="21"/>
      <c r="S108" s="21"/>
    </row>
    <row r="109" ht="19.5" customHeight="1">
      <c r="A109" s="90">
        <v>105.0</v>
      </c>
      <c r="B109" s="139">
        <v>45979.0</v>
      </c>
      <c r="C109" s="90">
        <v>59.0</v>
      </c>
      <c r="D109" s="93" t="s">
        <v>908</v>
      </c>
      <c r="E109" s="90" t="s">
        <v>714</v>
      </c>
      <c r="F109" s="132" t="s">
        <v>909</v>
      </c>
      <c r="G109" s="4"/>
      <c r="H109" s="90" t="s">
        <v>314</v>
      </c>
      <c r="I109" s="90" t="s">
        <v>904</v>
      </c>
      <c r="J109" s="85"/>
      <c r="K109" s="79"/>
      <c r="L109" s="79"/>
      <c r="M109" s="154"/>
      <c r="N109" s="3"/>
      <c r="O109" s="4"/>
      <c r="P109" s="21"/>
      <c r="Q109" s="21"/>
      <c r="R109" s="21"/>
      <c r="S109" s="21"/>
    </row>
    <row r="110" ht="19.5" customHeight="1">
      <c r="A110" s="90">
        <v>106.0</v>
      </c>
      <c r="B110" s="139">
        <v>45979.0</v>
      </c>
      <c r="C110" s="90">
        <v>70.0</v>
      </c>
      <c r="D110" s="93" t="s">
        <v>908</v>
      </c>
      <c r="E110" s="90" t="s">
        <v>714</v>
      </c>
      <c r="F110" s="132" t="s">
        <v>909</v>
      </c>
      <c r="G110" s="4"/>
      <c r="H110" s="90" t="s">
        <v>314</v>
      </c>
      <c r="I110" s="90" t="s">
        <v>904</v>
      </c>
      <c r="J110" s="85"/>
      <c r="K110" s="79"/>
      <c r="L110" s="79"/>
      <c r="M110" s="154"/>
      <c r="N110" s="3"/>
      <c r="O110" s="4"/>
      <c r="P110" s="21"/>
      <c r="Q110" s="21"/>
      <c r="R110" s="21"/>
      <c r="S110" s="21"/>
    </row>
    <row r="111" ht="19.5" customHeight="1">
      <c r="A111" s="90">
        <v>107.0</v>
      </c>
      <c r="B111" s="139">
        <v>45979.0</v>
      </c>
      <c r="C111" s="90">
        <v>79.0</v>
      </c>
      <c r="D111" s="93" t="s">
        <v>908</v>
      </c>
      <c r="E111" s="90" t="s">
        <v>714</v>
      </c>
      <c r="F111" s="132" t="s">
        <v>909</v>
      </c>
      <c r="G111" s="4"/>
      <c r="H111" s="90" t="s">
        <v>314</v>
      </c>
      <c r="I111" s="90" t="s">
        <v>904</v>
      </c>
      <c r="J111" s="85"/>
      <c r="K111" s="79"/>
      <c r="L111" s="79"/>
      <c r="M111" s="154"/>
      <c r="N111" s="3"/>
      <c r="O111" s="4"/>
      <c r="P111" s="21"/>
      <c r="Q111" s="21"/>
      <c r="R111" s="21"/>
      <c r="S111" s="21"/>
    </row>
    <row r="112" ht="19.5" customHeight="1">
      <c r="A112" s="90">
        <v>108.0</v>
      </c>
      <c r="B112" s="139">
        <v>45980.0</v>
      </c>
      <c r="C112" s="90">
        <v>4.0</v>
      </c>
      <c r="D112" s="93" t="s">
        <v>908</v>
      </c>
      <c r="E112" s="90" t="s">
        <v>714</v>
      </c>
      <c r="F112" s="132" t="s">
        <v>909</v>
      </c>
      <c r="G112" s="4"/>
      <c r="H112" s="90" t="s">
        <v>314</v>
      </c>
      <c r="I112" s="90" t="s">
        <v>904</v>
      </c>
      <c r="J112" s="90"/>
      <c r="K112" s="79"/>
      <c r="L112" s="79"/>
      <c r="M112" s="154"/>
      <c r="N112" s="3"/>
      <c r="O112" s="4"/>
      <c r="P112" s="21"/>
      <c r="Q112" s="21"/>
      <c r="R112" s="21"/>
      <c r="S112" s="21"/>
    </row>
    <row r="113" ht="19.5" customHeight="1">
      <c r="A113" s="90">
        <v>109.0</v>
      </c>
      <c r="B113" s="139">
        <v>45980.0</v>
      </c>
      <c r="C113" s="90">
        <v>11.0</v>
      </c>
      <c r="D113" s="93" t="s">
        <v>908</v>
      </c>
      <c r="E113" s="90" t="s">
        <v>714</v>
      </c>
      <c r="F113" s="132" t="s">
        <v>909</v>
      </c>
      <c r="G113" s="4"/>
      <c r="H113" s="90" t="s">
        <v>314</v>
      </c>
      <c r="I113" s="90" t="s">
        <v>904</v>
      </c>
      <c r="J113" s="90"/>
      <c r="K113" s="79"/>
      <c r="L113" s="79"/>
      <c r="M113" s="154"/>
      <c r="N113" s="3"/>
      <c r="O113" s="4"/>
      <c r="P113" s="21"/>
      <c r="Q113" s="21"/>
      <c r="R113" s="21"/>
      <c r="S113" s="21"/>
    </row>
    <row r="114" ht="19.5" customHeight="1">
      <c r="A114" s="90">
        <v>110.0</v>
      </c>
      <c r="B114" s="139">
        <v>45980.0</v>
      </c>
      <c r="C114" s="90">
        <v>25.0</v>
      </c>
      <c r="D114" s="93" t="s">
        <v>908</v>
      </c>
      <c r="E114" s="90" t="s">
        <v>714</v>
      </c>
      <c r="F114" s="132" t="s">
        <v>909</v>
      </c>
      <c r="G114" s="4"/>
      <c r="H114" s="90" t="s">
        <v>314</v>
      </c>
      <c r="I114" s="90" t="s">
        <v>904</v>
      </c>
      <c r="J114" s="85"/>
      <c r="K114" s="79"/>
      <c r="L114" s="79"/>
      <c r="M114" s="154"/>
      <c r="N114" s="3"/>
      <c r="O114" s="4"/>
      <c r="P114" s="21"/>
      <c r="Q114" s="21"/>
      <c r="R114" s="21"/>
      <c r="S114" s="21"/>
    </row>
    <row r="115" ht="19.5" customHeight="1">
      <c r="A115" s="90">
        <v>111.0</v>
      </c>
      <c r="B115" s="139">
        <v>45981.0</v>
      </c>
      <c r="C115" s="90">
        <v>19.0</v>
      </c>
      <c r="D115" s="93" t="s">
        <v>908</v>
      </c>
      <c r="E115" s="90" t="s">
        <v>714</v>
      </c>
      <c r="F115" s="132" t="s">
        <v>909</v>
      </c>
      <c r="G115" s="4"/>
      <c r="H115" s="90" t="s">
        <v>314</v>
      </c>
      <c r="I115" s="90" t="s">
        <v>904</v>
      </c>
      <c r="J115" s="138"/>
      <c r="K115" s="79"/>
      <c r="L115" s="79"/>
      <c r="M115" s="154"/>
      <c r="N115" s="3"/>
      <c r="O115" s="4"/>
      <c r="P115" s="21"/>
      <c r="Q115" s="21"/>
      <c r="R115" s="21"/>
      <c r="S115" s="21"/>
    </row>
    <row r="116" ht="19.5" customHeight="1">
      <c r="A116" s="90">
        <v>112.0</v>
      </c>
      <c r="B116" s="139">
        <v>45981.0</v>
      </c>
      <c r="C116" s="90">
        <v>30.0</v>
      </c>
      <c r="D116" s="93" t="s">
        <v>908</v>
      </c>
      <c r="E116" s="90" t="s">
        <v>714</v>
      </c>
      <c r="F116" s="132" t="s">
        <v>909</v>
      </c>
      <c r="G116" s="4"/>
      <c r="H116" s="90" t="s">
        <v>314</v>
      </c>
      <c r="I116" s="90" t="s">
        <v>904</v>
      </c>
      <c r="J116" s="85"/>
      <c r="K116" s="79"/>
      <c r="L116" s="79"/>
      <c r="M116" s="154"/>
      <c r="N116" s="3"/>
      <c r="O116" s="4"/>
      <c r="P116" s="21"/>
      <c r="Q116" s="21"/>
      <c r="R116" s="21"/>
      <c r="S116" s="21"/>
    </row>
    <row r="117" ht="19.5" customHeight="1">
      <c r="A117" s="90">
        <v>113.0</v>
      </c>
      <c r="B117" s="139">
        <v>45981.0</v>
      </c>
      <c r="C117" s="90">
        <v>33.0</v>
      </c>
      <c r="D117" s="93" t="s">
        <v>908</v>
      </c>
      <c r="E117" s="90" t="s">
        <v>714</v>
      </c>
      <c r="F117" s="132" t="s">
        <v>909</v>
      </c>
      <c r="G117" s="4"/>
      <c r="H117" s="90" t="s">
        <v>314</v>
      </c>
      <c r="I117" s="90" t="s">
        <v>904</v>
      </c>
      <c r="J117" s="85"/>
      <c r="K117" s="79"/>
      <c r="L117" s="79"/>
      <c r="M117" s="154"/>
      <c r="N117" s="3"/>
      <c r="O117" s="4"/>
      <c r="P117" s="21"/>
      <c r="Q117" s="21"/>
      <c r="R117" s="21"/>
      <c r="S117" s="21"/>
    </row>
    <row r="118" ht="19.5" customHeight="1">
      <c r="A118" s="90">
        <v>114.0</v>
      </c>
      <c r="B118" s="139">
        <v>45981.0</v>
      </c>
      <c r="C118" s="90">
        <v>43.0</v>
      </c>
      <c r="D118" s="93" t="s">
        <v>908</v>
      </c>
      <c r="E118" s="90" t="s">
        <v>714</v>
      </c>
      <c r="F118" s="132" t="s">
        <v>909</v>
      </c>
      <c r="G118" s="4"/>
      <c r="H118" s="90" t="s">
        <v>314</v>
      </c>
      <c r="I118" s="90" t="s">
        <v>904</v>
      </c>
      <c r="J118" s="85"/>
      <c r="K118" s="79"/>
      <c r="L118" s="79"/>
      <c r="M118" s="154"/>
      <c r="N118" s="3"/>
      <c r="O118" s="4"/>
      <c r="P118" s="21"/>
      <c r="Q118" s="21"/>
      <c r="R118" s="21"/>
      <c r="S118" s="21"/>
    </row>
    <row r="119" ht="19.5" customHeight="1">
      <c r="A119" s="90">
        <v>115.0</v>
      </c>
      <c r="B119" s="139">
        <v>45981.0</v>
      </c>
      <c r="C119" s="90">
        <v>48.0</v>
      </c>
      <c r="D119" s="93" t="s">
        <v>908</v>
      </c>
      <c r="E119" s="90" t="s">
        <v>714</v>
      </c>
      <c r="F119" s="132" t="s">
        <v>909</v>
      </c>
      <c r="G119" s="4"/>
      <c r="H119" s="90" t="s">
        <v>314</v>
      </c>
      <c r="I119" s="90" t="s">
        <v>904</v>
      </c>
      <c r="J119" s="85"/>
      <c r="K119" s="79"/>
      <c r="L119" s="79"/>
      <c r="M119" s="154"/>
      <c r="N119" s="3"/>
      <c r="O119" s="4"/>
      <c r="P119" s="21"/>
      <c r="Q119" s="21"/>
      <c r="R119" s="21"/>
      <c r="S119" s="21"/>
    </row>
    <row r="120" ht="19.5" customHeight="1">
      <c r="A120" s="90">
        <v>116.0</v>
      </c>
      <c r="B120" s="139">
        <v>45981.0</v>
      </c>
      <c r="C120" s="90">
        <v>60.0</v>
      </c>
      <c r="D120" s="93" t="s">
        <v>908</v>
      </c>
      <c r="E120" s="90" t="s">
        <v>714</v>
      </c>
      <c r="F120" s="132" t="s">
        <v>909</v>
      </c>
      <c r="G120" s="4"/>
      <c r="H120" s="90" t="s">
        <v>314</v>
      </c>
      <c r="I120" s="90" t="s">
        <v>904</v>
      </c>
      <c r="J120" s="85"/>
      <c r="K120" s="79"/>
      <c r="L120" s="79"/>
      <c r="M120" s="154"/>
      <c r="N120" s="3"/>
      <c r="O120" s="4"/>
      <c r="P120" s="21"/>
      <c r="Q120" s="21"/>
      <c r="R120" s="21"/>
      <c r="S120" s="21"/>
    </row>
    <row r="121" ht="19.5" customHeight="1">
      <c r="A121" s="90">
        <v>117.0</v>
      </c>
      <c r="B121" s="139">
        <v>45985.0</v>
      </c>
      <c r="C121" s="90">
        <v>16.0</v>
      </c>
      <c r="D121" s="93" t="s">
        <v>908</v>
      </c>
      <c r="E121" s="90" t="s">
        <v>714</v>
      </c>
      <c r="F121" s="132" t="s">
        <v>909</v>
      </c>
      <c r="G121" s="4"/>
      <c r="H121" s="90" t="s">
        <v>314</v>
      </c>
      <c r="I121" s="90" t="s">
        <v>904</v>
      </c>
      <c r="J121" s="85"/>
      <c r="K121" s="79"/>
      <c r="L121" s="79"/>
      <c r="M121" s="154"/>
      <c r="N121" s="3"/>
      <c r="O121" s="4"/>
      <c r="P121" s="21"/>
      <c r="Q121" s="21"/>
      <c r="R121" s="21"/>
      <c r="S121" s="21"/>
    </row>
    <row r="122" ht="19.5" customHeight="1">
      <c r="A122" s="90">
        <v>118.0</v>
      </c>
      <c r="B122" s="139">
        <v>45985.0</v>
      </c>
      <c r="C122" s="90">
        <v>22.0</v>
      </c>
      <c r="D122" s="93" t="s">
        <v>908</v>
      </c>
      <c r="E122" s="90" t="s">
        <v>714</v>
      </c>
      <c r="F122" s="132" t="s">
        <v>909</v>
      </c>
      <c r="G122" s="4"/>
      <c r="H122" s="90" t="s">
        <v>314</v>
      </c>
      <c r="I122" s="90" t="s">
        <v>904</v>
      </c>
      <c r="J122" s="85"/>
      <c r="K122" s="79"/>
      <c r="L122" s="79"/>
      <c r="M122" s="154"/>
      <c r="N122" s="3"/>
      <c r="O122" s="4"/>
      <c r="P122" s="21"/>
      <c r="Q122" s="21"/>
      <c r="R122" s="21"/>
      <c r="S122" s="21"/>
    </row>
    <row r="123" ht="19.5" customHeight="1">
      <c r="A123" s="90">
        <v>119.0</v>
      </c>
      <c r="B123" s="139">
        <v>45985.0</v>
      </c>
      <c r="C123" s="90">
        <v>26.0</v>
      </c>
      <c r="D123" s="93" t="s">
        <v>908</v>
      </c>
      <c r="E123" s="90" t="s">
        <v>714</v>
      </c>
      <c r="F123" s="132" t="s">
        <v>909</v>
      </c>
      <c r="G123" s="4"/>
      <c r="H123" s="90" t="s">
        <v>314</v>
      </c>
      <c r="I123" s="90" t="s">
        <v>904</v>
      </c>
      <c r="J123" s="85"/>
      <c r="K123" s="79"/>
      <c r="L123" s="79"/>
      <c r="M123" s="154"/>
      <c r="N123" s="3"/>
      <c r="O123" s="4"/>
      <c r="P123" s="21"/>
      <c r="Q123" s="21"/>
      <c r="R123" s="21"/>
      <c r="S123" s="21"/>
    </row>
    <row r="124" ht="19.5" customHeight="1">
      <c r="A124" s="90">
        <v>120.0</v>
      </c>
      <c r="B124" s="139">
        <v>45985.0</v>
      </c>
      <c r="C124" s="90">
        <v>34.0</v>
      </c>
      <c r="D124" s="93" t="s">
        <v>908</v>
      </c>
      <c r="E124" s="90" t="s">
        <v>714</v>
      </c>
      <c r="F124" s="132" t="s">
        <v>909</v>
      </c>
      <c r="G124" s="4"/>
      <c r="H124" s="90" t="s">
        <v>314</v>
      </c>
      <c r="I124" s="90" t="s">
        <v>904</v>
      </c>
      <c r="J124" s="85"/>
      <c r="K124" s="79"/>
      <c r="L124" s="79"/>
      <c r="M124" s="154"/>
      <c r="N124" s="3"/>
      <c r="O124" s="4"/>
      <c r="P124" s="21"/>
      <c r="Q124" s="21"/>
      <c r="R124" s="21"/>
      <c r="S124" s="21"/>
    </row>
    <row r="125" ht="19.5" customHeight="1">
      <c r="A125" s="90">
        <v>121.0</v>
      </c>
      <c r="B125" s="139">
        <v>45984.0</v>
      </c>
      <c r="C125" s="90">
        <v>40.0</v>
      </c>
      <c r="D125" s="93" t="s">
        <v>908</v>
      </c>
      <c r="E125" s="90" t="s">
        <v>714</v>
      </c>
      <c r="F125" s="132" t="s">
        <v>909</v>
      </c>
      <c r="G125" s="4"/>
      <c r="H125" s="90" t="s">
        <v>314</v>
      </c>
      <c r="I125" s="90" t="s">
        <v>904</v>
      </c>
      <c r="J125" s="90"/>
      <c r="K125" s="79"/>
      <c r="L125" s="79"/>
      <c r="M125" s="154"/>
      <c r="N125" s="3"/>
      <c r="O125" s="4"/>
      <c r="P125" s="21"/>
      <c r="Q125" s="21"/>
      <c r="R125" s="21"/>
      <c r="S125" s="21"/>
    </row>
    <row r="126" ht="19.5" customHeight="1">
      <c r="A126" s="90">
        <v>122.0</v>
      </c>
      <c r="B126" s="139">
        <v>45984.0</v>
      </c>
      <c r="C126" s="90">
        <v>49.0</v>
      </c>
      <c r="D126" s="93" t="s">
        <v>908</v>
      </c>
      <c r="E126" s="90" t="s">
        <v>714</v>
      </c>
      <c r="F126" s="132" t="s">
        <v>909</v>
      </c>
      <c r="G126" s="4"/>
      <c r="H126" s="90" t="s">
        <v>314</v>
      </c>
      <c r="I126" s="90" t="s">
        <v>904</v>
      </c>
      <c r="J126" s="85"/>
      <c r="K126" s="79"/>
      <c r="L126" s="79"/>
      <c r="M126" s="154"/>
      <c r="N126" s="3"/>
      <c r="O126" s="4"/>
      <c r="P126" s="21"/>
      <c r="Q126" s="21"/>
      <c r="R126" s="21"/>
      <c r="S126" s="21"/>
    </row>
    <row r="127" ht="19.5" customHeight="1">
      <c r="A127" s="90">
        <v>123.0</v>
      </c>
      <c r="B127" s="139">
        <v>45984.0</v>
      </c>
      <c r="C127" s="90">
        <v>61.0</v>
      </c>
      <c r="D127" s="93" t="s">
        <v>908</v>
      </c>
      <c r="E127" s="90" t="s">
        <v>714</v>
      </c>
      <c r="F127" s="132" t="s">
        <v>909</v>
      </c>
      <c r="G127" s="4"/>
      <c r="H127" s="90" t="s">
        <v>314</v>
      </c>
      <c r="I127" s="90" t="s">
        <v>904</v>
      </c>
      <c r="J127" s="85"/>
      <c r="K127" s="79"/>
      <c r="L127" s="79"/>
      <c r="M127" s="154"/>
      <c r="N127" s="3"/>
      <c r="O127" s="4"/>
      <c r="P127" s="21"/>
      <c r="Q127" s="21"/>
      <c r="R127" s="21"/>
      <c r="S127" s="21"/>
    </row>
    <row r="128" ht="19.5" customHeight="1">
      <c r="A128" s="90">
        <v>124.0</v>
      </c>
      <c r="B128" s="139">
        <v>45984.0</v>
      </c>
      <c r="C128" s="90">
        <v>68.0</v>
      </c>
      <c r="D128" s="93" t="s">
        <v>908</v>
      </c>
      <c r="E128" s="90" t="s">
        <v>714</v>
      </c>
      <c r="F128" s="132" t="s">
        <v>909</v>
      </c>
      <c r="G128" s="4"/>
      <c r="H128" s="90" t="s">
        <v>314</v>
      </c>
      <c r="I128" s="90" t="s">
        <v>904</v>
      </c>
      <c r="J128" s="85"/>
      <c r="K128" s="79"/>
      <c r="L128" s="79"/>
      <c r="M128" s="154"/>
      <c r="N128" s="3"/>
      <c r="O128" s="4"/>
      <c r="P128" s="21"/>
      <c r="Q128" s="21"/>
      <c r="R128" s="21"/>
      <c r="S128" s="21"/>
    </row>
    <row r="129" ht="19.5" customHeight="1">
      <c r="A129" s="90">
        <v>125.0</v>
      </c>
      <c r="B129" s="139">
        <v>45983.0</v>
      </c>
      <c r="C129" s="90">
        <v>71.0</v>
      </c>
      <c r="D129" s="93" t="s">
        <v>908</v>
      </c>
      <c r="E129" s="90" t="s">
        <v>714</v>
      </c>
      <c r="F129" s="132" t="s">
        <v>909</v>
      </c>
      <c r="G129" s="4"/>
      <c r="H129" s="90" t="s">
        <v>314</v>
      </c>
      <c r="I129" s="90" t="s">
        <v>904</v>
      </c>
      <c r="J129" s="85"/>
      <c r="K129" s="79"/>
      <c r="L129" s="79"/>
      <c r="M129" s="154"/>
      <c r="N129" s="3"/>
      <c r="O129" s="4"/>
      <c r="P129" s="21"/>
      <c r="Q129" s="21"/>
      <c r="R129" s="21"/>
      <c r="S129" s="21"/>
    </row>
    <row r="130" ht="19.5" customHeight="1">
      <c r="A130" s="90">
        <v>126.0</v>
      </c>
      <c r="B130" s="139">
        <v>45983.0</v>
      </c>
      <c r="C130" s="90">
        <v>80.0</v>
      </c>
      <c r="D130" s="93" t="s">
        <v>908</v>
      </c>
      <c r="E130" s="90" t="s">
        <v>714</v>
      </c>
      <c r="F130" s="132" t="s">
        <v>909</v>
      </c>
      <c r="G130" s="4"/>
      <c r="H130" s="90" t="s">
        <v>314</v>
      </c>
      <c r="I130" s="90" t="s">
        <v>904</v>
      </c>
      <c r="J130" s="85"/>
      <c r="K130" s="79"/>
      <c r="L130" s="79"/>
      <c r="M130" s="154"/>
      <c r="N130" s="3"/>
      <c r="O130" s="4"/>
      <c r="P130" s="21"/>
      <c r="Q130" s="21"/>
      <c r="R130" s="21"/>
      <c r="S130" s="21"/>
    </row>
    <row r="131" ht="19.5" customHeight="1">
      <c r="A131" s="90">
        <v>127.0</v>
      </c>
      <c r="B131" s="139">
        <v>45984.0</v>
      </c>
      <c r="C131" s="90">
        <v>81.0</v>
      </c>
      <c r="D131" s="93" t="s">
        <v>908</v>
      </c>
      <c r="E131" s="90" t="s">
        <v>714</v>
      </c>
      <c r="F131" s="132" t="s">
        <v>909</v>
      </c>
      <c r="G131" s="4"/>
      <c r="H131" s="90" t="s">
        <v>314</v>
      </c>
      <c r="I131" s="90" t="s">
        <v>904</v>
      </c>
      <c r="J131" s="85"/>
      <c r="K131" s="79"/>
      <c r="L131" s="79"/>
      <c r="M131" s="154"/>
      <c r="N131" s="3"/>
      <c r="O131" s="4"/>
      <c r="P131" s="21"/>
      <c r="Q131" s="21"/>
      <c r="R131" s="21"/>
      <c r="S131" s="21"/>
    </row>
    <row r="132" ht="19.5" customHeight="1">
      <c r="A132" s="90">
        <v>128.0</v>
      </c>
      <c r="B132" s="139">
        <v>45986.0</v>
      </c>
      <c r="C132" s="90">
        <v>69.0</v>
      </c>
      <c r="D132" s="93" t="s">
        <v>908</v>
      </c>
      <c r="E132" s="90" t="s">
        <v>714</v>
      </c>
      <c r="F132" s="132" t="s">
        <v>909</v>
      </c>
      <c r="G132" s="4"/>
      <c r="H132" s="90" t="s">
        <v>314</v>
      </c>
      <c r="I132" s="90" t="s">
        <v>904</v>
      </c>
      <c r="J132" s="85"/>
      <c r="K132" s="79"/>
      <c r="L132" s="79"/>
      <c r="M132" s="154"/>
      <c r="N132" s="3"/>
      <c r="O132" s="4"/>
      <c r="P132" s="21"/>
      <c r="Q132" s="21"/>
      <c r="R132" s="21"/>
      <c r="S132" s="21"/>
    </row>
    <row r="133" ht="19.5" customHeight="1">
      <c r="A133" s="90">
        <v>129.0</v>
      </c>
      <c r="B133" s="139">
        <v>45986.0</v>
      </c>
      <c r="C133" s="90">
        <v>82.0</v>
      </c>
      <c r="D133" s="93" t="s">
        <v>908</v>
      </c>
      <c r="E133" s="90" t="s">
        <v>714</v>
      </c>
      <c r="F133" s="132" t="s">
        <v>909</v>
      </c>
      <c r="G133" s="4"/>
      <c r="H133" s="90" t="s">
        <v>314</v>
      </c>
      <c r="I133" s="90" t="s">
        <v>904</v>
      </c>
      <c r="J133" s="85"/>
      <c r="K133" s="79"/>
      <c r="L133" s="79"/>
      <c r="M133" s="154"/>
      <c r="N133" s="3"/>
      <c r="O133" s="4"/>
      <c r="P133" s="21"/>
      <c r="Q133" s="21"/>
      <c r="R133" s="21"/>
      <c r="S133" s="21"/>
    </row>
    <row r="134" ht="19.5" customHeight="1">
      <c r="A134" s="90">
        <v>130.0</v>
      </c>
      <c r="B134" s="139">
        <v>45986.0</v>
      </c>
      <c r="C134" s="90">
        <v>122.0</v>
      </c>
      <c r="D134" s="93" t="s">
        <v>908</v>
      </c>
      <c r="E134" s="90" t="s">
        <v>714</v>
      </c>
      <c r="F134" s="132" t="s">
        <v>909</v>
      </c>
      <c r="G134" s="4"/>
      <c r="H134" s="90" t="s">
        <v>314</v>
      </c>
      <c r="I134" s="90" t="s">
        <v>904</v>
      </c>
      <c r="J134" s="85"/>
      <c r="K134" s="79"/>
      <c r="L134" s="79"/>
      <c r="M134" s="154"/>
      <c r="N134" s="3"/>
      <c r="O134" s="4"/>
      <c r="P134" s="21"/>
      <c r="Q134" s="21"/>
      <c r="R134" s="21"/>
      <c r="S134" s="21"/>
    </row>
    <row r="135" ht="19.5" customHeight="1">
      <c r="A135" s="90">
        <v>131.0</v>
      </c>
      <c r="B135" s="139">
        <v>45985.0</v>
      </c>
      <c r="C135" s="90">
        <v>27.0</v>
      </c>
      <c r="D135" s="93" t="s">
        <v>914</v>
      </c>
      <c r="E135" s="90" t="s">
        <v>915</v>
      </c>
      <c r="F135" s="132" t="s">
        <v>916</v>
      </c>
      <c r="G135" s="4"/>
      <c r="H135" s="90" t="s">
        <v>917</v>
      </c>
      <c r="I135" s="90" t="s">
        <v>904</v>
      </c>
      <c r="J135" s="85"/>
      <c r="K135" s="79"/>
      <c r="L135" s="79"/>
      <c r="M135" s="154"/>
      <c r="N135" s="3"/>
      <c r="O135" s="4"/>
      <c r="P135" s="21"/>
      <c r="Q135" s="21"/>
      <c r="R135" s="21"/>
      <c r="S135" s="21"/>
    </row>
    <row r="136" ht="19.5" customHeight="1">
      <c r="A136" s="90">
        <v>132.0</v>
      </c>
      <c r="B136" s="139">
        <v>45985.0</v>
      </c>
      <c r="C136" s="90">
        <v>26.0</v>
      </c>
      <c r="D136" s="93" t="s">
        <v>914</v>
      </c>
      <c r="E136" s="90" t="s">
        <v>915</v>
      </c>
      <c r="F136" s="132" t="s">
        <v>916</v>
      </c>
      <c r="G136" s="4"/>
      <c r="H136" s="90" t="s">
        <v>917</v>
      </c>
      <c r="I136" s="90" t="s">
        <v>904</v>
      </c>
      <c r="J136" s="85"/>
      <c r="K136" s="79"/>
      <c r="L136" s="79"/>
      <c r="M136" s="154"/>
      <c r="N136" s="3"/>
      <c r="O136" s="4"/>
      <c r="P136" s="21"/>
      <c r="Q136" s="21"/>
      <c r="R136" s="21"/>
      <c r="S136" s="21"/>
    </row>
    <row r="137" ht="19.5" customHeight="1">
      <c r="A137" s="90">
        <v>133.0</v>
      </c>
      <c r="B137" s="139">
        <v>45985.0</v>
      </c>
      <c r="C137" s="90">
        <v>124.0</v>
      </c>
      <c r="D137" s="93" t="s">
        <v>914</v>
      </c>
      <c r="E137" s="90" t="s">
        <v>915</v>
      </c>
      <c r="F137" s="132" t="s">
        <v>916</v>
      </c>
      <c r="G137" s="4"/>
      <c r="H137" s="90" t="s">
        <v>917</v>
      </c>
      <c r="I137" s="90" t="s">
        <v>904</v>
      </c>
      <c r="J137" s="85"/>
      <c r="K137" s="79"/>
      <c r="L137" s="79"/>
      <c r="M137" s="154"/>
      <c r="N137" s="3"/>
      <c r="O137" s="4"/>
      <c r="P137" s="21"/>
      <c r="Q137" s="21"/>
      <c r="R137" s="21"/>
      <c r="S137" s="21"/>
    </row>
    <row r="138" ht="19.5" customHeight="1">
      <c r="A138" s="90">
        <v>134.0</v>
      </c>
      <c r="B138" s="139">
        <v>45983.0</v>
      </c>
      <c r="C138" s="90">
        <v>95.0</v>
      </c>
      <c r="D138" s="93" t="s">
        <v>914</v>
      </c>
      <c r="E138" s="90" t="s">
        <v>915</v>
      </c>
      <c r="F138" s="132" t="s">
        <v>916</v>
      </c>
      <c r="G138" s="4"/>
      <c r="H138" s="90" t="s">
        <v>917</v>
      </c>
      <c r="I138" s="90" t="s">
        <v>904</v>
      </c>
      <c r="J138" s="85"/>
      <c r="K138" s="79"/>
      <c r="L138" s="79"/>
      <c r="M138" s="154"/>
      <c r="N138" s="3"/>
      <c r="O138" s="4"/>
      <c r="P138" s="21"/>
      <c r="Q138" s="21"/>
      <c r="R138" s="21"/>
      <c r="S138" s="21"/>
    </row>
    <row r="139" ht="19.5" customHeight="1">
      <c r="A139" s="90">
        <v>135.0</v>
      </c>
      <c r="B139" s="139">
        <v>45983.0</v>
      </c>
      <c r="C139" s="90">
        <v>71.0</v>
      </c>
      <c r="D139" s="93" t="s">
        <v>914</v>
      </c>
      <c r="E139" s="90" t="s">
        <v>915</v>
      </c>
      <c r="F139" s="132" t="s">
        <v>916</v>
      </c>
      <c r="G139" s="4"/>
      <c r="H139" s="90" t="s">
        <v>917</v>
      </c>
      <c r="I139" s="90" t="s">
        <v>904</v>
      </c>
      <c r="J139" s="85"/>
      <c r="K139" s="79"/>
      <c r="L139" s="79"/>
      <c r="M139" s="154"/>
      <c r="N139" s="3"/>
      <c r="O139" s="4"/>
      <c r="P139" s="21"/>
      <c r="Q139" s="21"/>
      <c r="R139" s="21"/>
      <c r="S139" s="21"/>
    </row>
    <row r="140" ht="19.5" customHeight="1">
      <c r="A140" s="90">
        <v>136.0</v>
      </c>
      <c r="B140" s="139">
        <v>45983.0</v>
      </c>
      <c r="C140" s="90">
        <v>43.0</v>
      </c>
      <c r="D140" s="93" t="s">
        <v>914</v>
      </c>
      <c r="E140" s="90" t="s">
        <v>915</v>
      </c>
      <c r="F140" s="132" t="s">
        <v>916</v>
      </c>
      <c r="G140" s="4"/>
      <c r="H140" s="90" t="s">
        <v>917</v>
      </c>
      <c r="I140" s="90" t="s">
        <v>904</v>
      </c>
      <c r="J140" s="85"/>
      <c r="K140" s="79"/>
      <c r="L140" s="79"/>
      <c r="M140" s="154"/>
      <c r="N140" s="3"/>
      <c r="O140" s="4"/>
      <c r="P140" s="21"/>
      <c r="Q140" s="21"/>
      <c r="R140" s="21"/>
      <c r="S140" s="21"/>
    </row>
    <row r="141" ht="19.5" customHeight="1">
      <c r="A141" s="90">
        <v>137.0</v>
      </c>
      <c r="B141" s="139">
        <v>45981.0</v>
      </c>
      <c r="C141" s="90">
        <v>48.0</v>
      </c>
      <c r="D141" s="93" t="s">
        <v>914</v>
      </c>
      <c r="E141" s="90" t="s">
        <v>915</v>
      </c>
      <c r="F141" s="132" t="s">
        <v>916</v>
      </c>
      <c r="G141" s="4"/>
      <c r="H141" s="90" t="s">
        <v>917</v>
      </c>
      <c r="I141" s="90" t="s">
        <v>904</v>
      </c>
      <c r="J141" s="90"/>
      <c r="K141" s="79"/>
      <c r="L141" s="79"/>
      <c r="M141" s="154"/>
      <c r="N141" s="3"/>
      <c r="O141" s="4"/>
      <c r="P141" s="21"/>
      <c r="Q141" s="21"/>
      <c r="R141" s="21"/>
      <c r="S141" s="21"/>
    </row>
    <row r="142" ht="19.5" customHeight="1">
      <c r="A142" s="90">
        <v>138.0</v>
      </c>
      <c r="B142" s="139">
        <v>45981.0</v>
      </c>
      <c r="C142" s="90">
        <v>60.0</v>
      </c>
      <c r="D142" s="93" t="s">
        <v>914</v>
      </c>
      <c r="E142" s="90" t="s">
        <v>915</v>
      </c>
      <c r="F142" s="132" t="s">
        <v>916</v>
      </c>
      <c r="G142" s="4"/>
      <c r="H142" s="90" t="s">
        <v>917</v>
      </c>
      <c r="I142" s="90" t="s">
        <v>904</v>
      </c>
      <c r="J142" s="90"/>
      <c r="K142" s="79"/>
      <c r="L142" s="79"/>
      <c r="M142" s="154"/>
      <c r="N142" s="3"/>
      <c r="O142" s="4"/>
      <c r="P142" s="21"/>
      <c r="Q142" s="21"/>
      <c r="R142" s="21"/>
      <c r="S142" s="21"/>
    </row>
    <row r="143" ht="19.5" customHeight="1">
      <c r="A143" s="90">
        <v>139.0</v>
      </c>
      <c r="B143" s="139">
        <v>45987.0</v>
      </c>
      <c r="C143" s="90">
        <v>32.0</v>
      </c>
      <c r="D143" s="93" t="s">
        <v>908</v>
      </c>
      <c r="E143" s="90" t="s">
        <v>714</v>
      </c>
      <c r="F143" s="132" t="s">
        <v>909</v>
      </c>
      <c r="G143" s="4"/>
      <c r="H143" s="90" t="s">
        <v>314</v>
      </c>
      <c r="I143" s="90" t="s">
        <v>904</v>
      </c>
      <c r="J143" s="90"/>
      <c r="K143" s="79"/>
      <c r="L143" s="79"/>
      <c r="M143" s="154"/>
      <c r="N143" s="3"/>
      <c r="O143" s="4"/>
      <c r="P143" s="21"/>
      <c r="Q143" s="21"/>
      <c r="R143" s="21"/>
      <c r="S143" s="21"/>
    </row>
    <row r="144" ht="19.5" customHeight="1">
      <c r="A144" s="90">
        <v>140.0</v>
      </c>
      <c r="B144" s="139">
        <v>45987.0</v>
      </c>
      <c r="C144" s="90">
        <v>39.0</v>
      </c>
      <c r="D144" s="93" t="s">
        <v>908</v>
      </c>
      <c r="E144" s="90" t="s">
        <v>714</v>
      </c>
      <c r="F144" s="132" t="s">
        <v>909</v>
      </c>
      <c r="G144" s="4"/>
      <c r="H144" s="90" t="s">
        <v>314</v>
      </c>
      <c r="I144" s="90" t="s">
        <v>904</v>
      </c>
      <c r="J144" s="85"/>
      <c r="K144" s="79"/>
      <c r="L144" s="79"/>
      <c r="M144" s="154"/>
      <c r="N144" s="3"/>
      <c r="O144" s="4"/>
      <c r="P144" s="21"/>
      <c r="Q144" s="21"/>
      <c r="R144" s="21"/>
      <c r="S144" s="21"/>
    </row>
    <row r="145" ht="19.5" customHeight="1">
      <c r="A145" s="90">
        <v>141.0</v>
      </c>
      <c r="B145" s="139">
        <v>45987.0</v>
      </c>
      <c r="C145" s="90">
        <v>41.0</v>
      </c>
      <c r="D145" s="93" t="s">
        <v>908</v>
      </c>
      <c r="E145" s="90" t="s">
        <v>714</v>
      </c>
      <c r="F145" s="132" t="s">
        <v>909</v>
      </c>
      <c r="G145" s="4"/>
      <c r="H145" s="90" t="s">
        <v>314</v>
      </c>
      <c r="I145" s="90" t="s">
        <v>904</v>
      </c>
      <c r="J145" s="90"/>
      <c r="K145" s="79"/>
      <c r="L145" s="79"/>
      <c r="M145" s="154"/>
      <c r="N145" s="3"/>
      <c r="O145" s="4"/>
      <c r="P145" s="21"/>
      <c r="Q145" s="21"/>
      <c r="R145" s="21"/>
      <c r="S145" s="21"/>
    </row>
    <row r="146" ht="19.5" customHeight="1">
      <c r="A146" s="90">
        <v>142.0</v>
      </c>
      <c r="B146" s="139">
        <v>45987.0</v>
      </c>
      <c r="C146" s="90">
        <v>50.0</v>
      </c>
      <c r="D146" s="93" t="s">
        <v>908</v>
      </c>
      <c r="E146" s="90" t="s">
        <v>714</v>
      </c>
      <c r="F146" s="132" t="s">
        <v>909</v>
      </c>
      <c r="G146" s="4"/>
      <c r="H146" s="90" t="s">
        <v>314</v>
      </c>
      <c r="I146" s="90" t="s">
        <v>904</v>
      </c>
      <c r="J146" s="85"/>
      <c r="K146" s="79"/>
      <c r="L146" s="79"/>
      <c r="M146" s="154"/>
      <c r="N146" s="3"/>
      <c r="O146" s="4"/>
      <c r="P146" s="21"/>
      <c r="Q146" s="21"/>
      <c r="R146" s="21"/>
      <c r="S146" s="21"/>
    </row>
    <row r="147" ht="19.5" customHeight="1">
      <c r="A147" s="90">
        <v>143.0</v>
      </c>
      <c r="B147" s="139">
        <v>45987.0</v>
      </c>
      <c r="C147" s="90">
        <v>55.0</v>
      </c>
      <c r="D147" s="93" t="s">
        <v>908</v>
      </c>
      <c r="E147" s="90" t="s">
        <v>714</v>
      </c>
      <c r="F147" s="132" t="s">
        <v>909</v>
      </c>
      <c r="G147" s="4"/>
      <c r="H147" s="90" t="s">
        <v>314</v>
      </c>
      <c r="I147" s="90" t="s">
        <v>904</v>
      </c>
      <c r="J147" s="90"/>
      <c r="K147" s="79"/>
      <c r="L147" s="79"/>
      <c r="M147" s="154"/>
      <c r="N147" s="3"/>
      <c r="O147" s="4"/>
      <c r="P147" s="21"/>
      <c r="Q147" s="21"/>
      <c r="R147" s="21"/>
      <c r="S147" s="21"/>
    </row>
    <row r="148" ht="19.5" customHeight="1">
      <c r="A148" s="90">
        <v>144.0</v>
      </c>
      <c r="B148" s="139">
        <v>45987.0</v>
      </c>
      <c r="C148" s="90">
        <v>57.0</v>
      </c>
      <c r="D148" s="93" t="s">
        <v>908</v>
      </c>
      <c r="E148" s="90" t="s">
        <v>714</v>
      </c>
      <c r="F148" s="132" t="s">
        <v>909</v>
      </c>
      <c r="G148" s="4"/>
      <c r="H148" s="90" t="s">
        <v>314</v>
      </c>
      <c r="I148" s="90" t="s">
        <v>904</v>
      </c>
      <c r="J148" s="85"/>
      <c r="K148" s="79"/>
      <c r="L148" s="79"/>
      <c r="M148" s="154"/>
      <c r="N148" s="3"/>
      <c r="O148" s="4"/>
      <c r="P148" s="21"/>
      <c r="Q148" s="21"/>
      <c r="R148" s="21"/>
      <c r="S148" s="21"/>
    </row>
    <row r="149" ht="19.5" customHeight="1">
      <c r="A149" s="90">
        <v>145.0</v>
      </c>
      <c r="B149" s="139">
        <v>45987.0</v>
      </c>
      <c r="C149" s="90">
        <v>67.0</v>
      </c>
      <c r="D149" s="93" t="s">
        <v>908</v>
      </c>
      <c r="E149" s="90" t="s">
        <v>714</v>
      </c>
      <c r="F149" s="132" t="s">
        <v>909</v>
      </c>
      <c r="G149" s="4"/>
      <c r="H149" s="90" t="s">
        <v>314</v>
      </c>
      <c r="I149" s="90" t="s">
        <v>904</v>
      </c>
      <c r="J149" s="90"/>
      <c r="K149" s="79"/>
      <c r="L149" s="79"/>
      <c r="M149" s="154"/>
      <c r="N149" s="3"/>
      <c r="O149" s="4"/>
      <c r="P149" s="21"/>
      <c r="Q149" s="21"/>
      <c r="R149" s="21"/>
      <c r="S149" s="21"/>
    </row>
    <row r="150" ht="19.5" customHeight="1">
      <c r="A150" s="90">
        <v>146.0</v>
      </c>
      <c r="B150" s="139">
        <v>45987.0</v>
      </c>
      <c r="C150" s="90">
        <v>78.0</v>
      </c>
      <c r="D150" s="93" t="s">
        <v>908</v>
      </c>
      <c r="E150" s="90" t="s">
        <v>714</v>
      </c>
      <c r="F150" s="132" t="s">
        <v>909</v>
      </c>
      <c r="G150" s="4"/>
      <c r="H150" s="90" t="s">
        <v>314</v>
      </c>
      <c r="I150" s="90" t="s">
        <v>904</v>
      </c>
      <c r="J150" s="90"/>
      <c r="K150" s="79"/>
      <c r="L150" s="79"/>
      <c r="M150" s="154"/>
      <c r="N150" s="3"/>
      <c r="O150" s="4"/>
      <c r="P150" s="21"/>
      <c r="Q150" s="21"/>
      <c r="R150" s="21"/>
      <c r="S150" s="21"/>
    </row>
    <row r="151" ht="19.5" customHeight="1">
      <c r="A151" s="90">
        <v>147.0</v>
      </c>
      <c r="B151" s="139">
        <v>45987.0</v>
      </c>
      <c r="C151" s="90">
        <v>1.0</v>
      </c>
      <c r="D151" s="93" t="s">
        <v>914</v>
      </c>
      <c r="E151" s="90" t="s">
        <v>915</v>
      </c>
      <c r="F151" s="132" t="s">
        <v>916</v>
      </c>
      <c r="G151" s="4"/>
      <c r="H151" s="90" t="s">
        <v>917</v>
      </c>
      <c r="I151" s="90" t="s">
        <v>904</v>
      </c>
      <c r="J151" s="90"/>
      <c r="K151" s="79"/>
      <c r="L151" s="79"/>
      <c r="M151" s="154"/>
      <c r="N151" s="3"/>
      <c r="O151" s="4"/>
      <c r="P151" s="21"/>
      <c r="Q151" s="21"/>
      <c r="R151" s="21"/>
      <c r="S151" s="21"/>
    </row>
    <row r="152" ht="19.5" customHeight="1">
      <c r="A152" s="90">
        <v>148.0</v>
      </c>
      <c r="B152" s="139">
        <v>45973.0</v>
      </c>
      <c r="C152" s="90">
        <v>21.0</v>
      </c>
      <c r="D152" s="93" t="s">
        <v>914</v>
      </c>
      <c r="E152" s="90" t="s">
        <v>915</v>
      </c>
      <c r="F152" s="132" t="s">
        <v>916</v>
      </c>
      <c r="G152" s="4"/>
      <c r="H152" s="90" t="s">
        <v>917</v>
      </c>
      <c r="I152" s="90" t="s">
        <v>904</v>
      </c>
      <c r="J152" s="90"/>
      <c r="K152" s="79"/>
      <c r="L152" s="79"/>
      <c r="M152" s="154"/>
      <c r="N152" s="3"/>
      <c r="O152" s="4"/>
      <c r="P152" s="21"/>
      <c r="Q152" s="21"/>
      <c r="R152" s="21"/>
      <c r="S152" s="21"/>
    </row>
    <row r="153" ht="19.5" customHeight="1">
      <c r="A153" s="90">
        <v>149.0</v>
      </c>
      <c r="B153" s="139">
        <v>45988.0</v>
      </c>
      <c r="C153" s="90">
        <v>96.0</v>
      </c>
      <c r="D153" s="93" t="s">
        <v>914</v>
      </c>
      <c r="E153" s="90" t="s">
        <v>915</v>
      </c>
      <c r="F153" s="132" t="s">
        <v>916</v>
      </c>
      <c r="G153" s="4"/>
      <c r="H153" s="90" t="s">
        <v>917</v>
      </c>
      <c r="I153" s="90" t="s">
        <v>904</v>
      </c>
      <c r="J153" s="139"/>
      <c r="K153" s="79"/>
      <c r="L153" s="79"/>
      <c r="M153" s="154"/>
      <c r="N153" s="3"/>
      <c r="O153" s="4"/>
      <c r="P153" s="21"/>
      <c r="Q153" s="21"/>
      <c r="R153" s="21"/>
      <c r="S153" s="21"/>
    </row>
    <row r="154" ht="19.5" customHeight="1">
      <c r="A154" s="90">
        <v>150.0</v>
      </c>
      <c r="B154" s="139">
        <v>45988.0</v>
      </c>
      <c r="C154" s="90">
        <v>129.0</v>
      </c>
      <c r="D154" s="93" t="s">
        <v>914</v>
      </c>
      <c r="E154" s="90" t="s">
        <v>915</v>
      </c>
      <c r="F154" s="132" t="s">
        <v>916</v>
      </c>
      <c r="G154" s="4"/>
      <c r="H154" s="90" t="s">
        <v>917</v>
      </c>
      <c r="I154" s="90" t="s">
        <v>904</v>
      </c>
      <c r="J154" s="85"/>
      <c r="K154" s="79"/>
      <c r="L154" s="79"/>
      <c r="M154" s="154"/>
      <c r="N154" s="3"/>
      <c r="O154" s="4"/>
      <c r="P154" s="21"/>
      <c r="Q154" s="21"/>
      <c r="R154" s="21"/>
      <c r="S154" s="21"/>
    </row>
    <row r="155" ht="19.5" customHeight="1">
      <c r="A155" s="90">
        <v>151.0</v>
      </c>
      <c r="B155" s="139">
        <f>$B$153</f>
        <v>45988</v>
      </c>
      <c r="C155" s="90">
        <v>7.0</v>
      </c>
      <c r="D155" s="93" t="s">
        <v>908</v>
      </c>
      <c r="E155" s="90" t="s">
        <v>714</v>
      </c>
      <c r="F155" s="132" t="s">
        <v>909</v>
      </c>
      <c r="G155" s="4"/>
      <c r="H155" s="90" t="s">
        <v>314</v>
      </c>
      <c r="I155" s="90" t="s">
        <v>904</v>
      </c>
      <c r="J155" s="85"/>
      <c r="K155" s="79"/>
      <c r="L155" s="79"/>
      <c r="M155" s="154"/>
      <c r="N155" s="3"/>
      <c r="O155" s="4"/>
      <c r="P155" s="21"/>
      <c r="Q155" s="21"/>
      <c r="R155" s="21"/>
      <c r="S155" s="21"/>
    </row>
    <row r="156" ht="19.5" customHeight="1">
      <c r="A156" s="90">
        <v>152.0</v>
      </c>
      <c r="B156" s="139">
        <v>45989.0</v>
      </c>
      <c r="C156" s="90">
        <v>10.0</v>
      </c>
      <c r="D156" s="93" t="s">
        <v>908</v>
      </c>
      <c r="E156" s="90" t="s">
        <v>714</v>
      </c>
      <c r="F156" s="132" t="s">
        <v>909</v>
      </c>
      <c r="G156" s="4"/>
      <c r="H156" s="90" t="s">
        <v>314</v>
      </c>
      <c r="I156" s="90" t="s">
        <v>904</v>
      </c>
      <c r="J156" s="90"/>
      <c r="K156" s="79"/>
      <c r="L156" s="79"/>
      <c r="M156" s="154"/>
      <c r="N156" s="3"/>
      <c r="O156" s="4"/>
      <c r="P156" s="21"/>
      <c r="Q156" s="21"/>
      <c r="R156" s="21"/>
      <c r="S156" s="21"/>
    </row>
    <row r="157" ht="19.5" customHeight="1">
      <c r="A157" s="90">
        <v>153.0</v>
      </c>
      <c r="B157" s="139">
        <v>45989.0</v>
      </c>
      <c r="C157" s="90">
        <v>14.0</v>
      </c>
      <c r="D157" s="93" t="s">
        <v>908</v>
      </c>
      <c r="E157" s="90" t="s">
        <v>714</v>
      </c>
      <c r="F157" s="132" t="s">
        <v>909</v>
      </c>
      <c r="G157" s="4"/>
      <c r="H157" s="90" t="s">
        <v>314</v>
      </c>
      <c r="I157" s="90" t="s">
        <v>904</v>
      </c>
      <c r="J157" s="90"/>
      <c r="K157" s="79"/>
      <c r="L157" s="79"/>
      <c r="M157" s="154"/>
      <c r="N157" s="3"/>
      <c r="O157" s="4"/>
      <c r="P157" s="21"/>
      <c r="Q157" s="21"/>
      <c r="R157" s="21"/>
      <c r="S157" s="21"/>
    </row>
    <row r="158" ht="19.5" customHeight="1">
      <c r="A158" s="90">
        <v>154.0</v>
      </c>
      <c r="B158" s="139">
        <v>45989.0</v>
      </c>
      <c r="C158" s="90">
        <v>18.0</v>
      </c>
      <c r="D158" s="93" t="s">
        <v>908</v>
      </c>
      <c r="E158" s="90" t="s">
        <v>714</v>
      </c>
      <c r="F158" s="132" t="s">
        <v>909</v>
      </c>
      <c r="G158" s="4"/>
      <c r="H158" s="90" t="s">
        <v>314</v>
      </c>
      <c r="I158" s="90" t="s">
        <v>904</v>
      </c>
      <c r="J158" s="90"/>
      <c r="K158" s="79"/>
      <c r="L158" s="79"/>
      <c r="M158" s="154"/>
      <c r="N158" s="3"/>
      <c r="O158" s="4"/>
      <c r="P158" s="21"/>
      <c r="Q158" s="21"/>
      <c r="R158" s="21"/>
      <c r="S158" s="21"/>
    </row>
    <row r="159" ht="19.5" customHeight="1">
      <c r="A159" s="90">
        <v>155.0</v>
      </c>
      <c r="B159" s="139">
        <v>45990.0</v>
      </c>
      <c r="C159" s="90">
        <v>58.0</v>
      </c>
      <c r="D159" s="93" t="s">
        <v>908</v>
      </c>
      <c r="E159" s="90" t="s">
        <v>714</v>
      </c>
      <c r="F159" s="132" t="s">
        <v>909</v>
      </c>
      <c r="G159" s="4"/>
      <c r="H159" s="90" t="s">
        <v>314</v>
      </c>
      <c r="I159" s="90" t="s">
        <v>904</v>
      </c>
      <c r="J159" s="90"/>
      <c r="K159" s="79"/>
      <c r="L159" s="79"/>
      <c r="M159" s="154"/>
      <c r="N159" s="3"/>
      <c r="O159" s="4"/>
      <c r="P159" s="21"/>
      <c r="Q159" s="21"/>
      <c r="R159" s="21"/>
      <c r="S159" s="21"/>
    </row>
    <row r="160" ht="19.5" customHeight="1">
      <c r="A160" s="90">
        <v>156.0</v>
      </c>
      <c r="B160" s="139">
        <v>45990.0</v>
      </c>
      <c r="C160" s="90">
        <v>77.0</v>
      </c>
      <c r="D160" s="93" t="s">
        <v>908</v>
      </c>
      <c r="E160" s="90" t="s">
        <v>714</v>
      </c>
      <c r="F160" s="132" t="s">
        <v>909</v>
      </c>
      <c r="G160" s="4"/>
      <c r="H160" s="90" t="s">
        <v>314</v>
      </c>
      <c r="I160" s="90" t="s">
        <v>904</v>
      </c>
      <c r="J160" s="85"/>
      <c r="K160" s="79"/>
      <c r="L160" s="79"/>
      <c r="M160" s="154"/>
      <c r="N160" s="3"/>
      <c r="O160" s="4"/>
      <c r="P160" s="21"/>
      <c r="Q160" s="21"/>
      <c r="R160" s="21"/>
      <c r="S160" s="21"/>
    </row>
    <row r="161" ht="19.5" customHeight="1">
      <c r="A161" s="90">
        <v>157.0</v>
      </c>
      <c r="B161" s="139">
        <v>45990.0</v>
      </c>
      <c r="C161" s="90">
        <v>83.0</v>
      </c>
      <c r="D161" s="93" t="s">
        <v>908</v>
      </c>
      <c r="E161" s="90" t="s">
        <v>714</v>
      </c>
      <c r="F161" s="132" t="s">
        <v>909</v>
      </c>
      <c r="G161" s="4"/>
      <c r="H161" s="90" t="s">
        <v>314</v>
      </c>
      <c r="I161" s="90" t="s">
        <v>904</v>
      </c>
      <c r="J161" s="90"/>
      <c r="K161" s="79"/>
      <c r="L161" s="79"/>
      <c r="M161" s="154"/>
      <c r="N161" s="3"/>
      <c r="O161" s="4"/>
      <c r="P161" s="21"/>
      <c r="Q161" s="21"/>
      <c r="R161" s="21"/>
      <c r="S161" s="21"/>
    </row>
    <row r="162" ht="19.5" customHeight="1">
      <c r="A162" s="90">
        <v>158.0</v>
      </c>
      <c r="B162" s="139">
        <v>45990.0</v>
      </c>
      <c r="C162" s="90">
        <v>84.0</v>
      </c>
      <c r="D162" s="93" t="s">
        <v>908</v>
      </c>
      <c r="E162" s="90" t="s">
        <v>714</v>
      </c>
      <c r="F162" s="132" t="s">
        <v>909</v>
      </c>
      <c r="G162" s="4"/>
      <c r="H162" s="90" t="s">
        <v>314</v>
      </c>
      <c r="I162" s="90" t="s">
        <v>904</v>
      </c>
      <c r="J162" s="85"/>
      <c r="K162" s="79"/>
      <c r="L162" s="79"/>
      <c r="M162" s="154"/>
      <c r="N162" s="3"/>
      <c r="O162" s="4"/>
      <c r="P162" s="21"/>
      <c r="Q162" s="21"/>
      <c r="R162" s="21"/>
      <c r="S162" s="21"/>
    </row>
    <row r="163" ht="19.5" customHeight="1">
      <c r="A163" s="90">
        <v>159.0</v>
      </c>
      <c r="B163" s="139">
        <v>45990.0</v>
      </c>
      <c r="C163" s="90">
        <v>123.0</v>
      </c>
      <c r="D163" s="93" t="s">
        <v>908</v>
      </c>
      <c r="E163" s="90" t="s">
        <v>714</v>
      </c>
      <c r="F163" s="132" t="s">
        <v>909</v>
      </c>
      <c r="G163" s="4"/>
      <c r="H163" s="90" t="s">
        <v>314</v>
      </c>
      <c r="I163" s="90" t="s">
        <v>904</v>
      </c>
      <c r="J163" s="90"/>
      <c r="K163" s="79"/>
      <c r="L163" s="79"/>
      <c r="M163" s="154"/>
      <c r="N163" s="3"/>
      <c r="O163" s="4"/>
      <c r="P163" s="21"/>
      <c r="Q163" s="21"/>
      <c r="R163" s="21"/>
      <c r="S163" s="21"/>
    </row>
    <row r="164" ht="19.5" customHeight="1">
      <c r="A164" s="90">
        <v>160.0</v>
      </c>
      <c r="B164" s="144">
        <v>46013.0</v>
      </c>
      <c r="C164" s="92">
        <v>128.0</v>
      </c>
      <c r="D164" s="145" t="s">
        <v>918</v>
      </c>
      <c r="E164" s="92" t="s">
        <v>681</v>
      </c>
      <c r="F164" s="202" t="s">
        <v>919</v>
      </c>
      <c r="G164" s="4"/>
      <c r="H164" s="92" t="s">
        <v>314</v>
      </c>
      <c r="I164" s="249" t="s">
        <v>920</v>
      </c>
      <c r="J164" s="139">
        <v>46043.0</v>
      </c>
      <c r="K164" s="79"/>
      <c r="L164" s="79"/>
      <c r="M164" s="154"/>
      <c r="N164" s="3"/>
      <c r="O164" s="4"/>
      <c r="P164" s="21"/>
      <c r="Q164" s="21"/>
      <c r="R164" s="21"/>
      <c r="S164" s="21"/>
    </row>
    <row r="165" ht="19.5" customHeight="1">
      <c r="A165" s="90">
        <v>161.0</v>
      </c>
      <c r="B165" s="144">
        <v>46013.0</v>
      </c>
      <c r="C165" s="92">
        <v>103.0</v>
      </c>
      <c r="D165" s="145" t="s">
        <v>918</v>
      </c>
      <c r="E165" s="92" t="s">
        <v>681</v>
      </c>
      <c r="F165" s="202" t="s">
        <v>919</v>
      </c>
      <c r="G165" s="4"/>
      <c r="H165" s="92" t="s">
        <v>314</v>
      </c>
      <c r="I165" s="249" t="s">
        <v>920</v>
      </c>
      <c r="J165" s="139">
        <v>46043.0</v>
      </c>
      <c r="K165" s="79"/>
      <c r="L165" s="79"/>
      <c r="M165" s="154"/>
      <c r="N165" s="3"/>
      <c r="O165" s="4"/>
      <c r="P165" s="21"/>
      <c r="Q165" s="21"/>
      <c r="R165" s="21"/>
      <c r="S165" s="21"/>
    </row>
    <row r="166" ht="19.5" customHeight="1">
      <c r="A166" s="90">
        <v>162.0</v>
      </c>
      <c r="B166" s="144">
        <v>46013.0</v>
      </c>
      <c r="C166" s="92">
        <v>31.0</v>
      </c>
      <c r="D166" s="145" t="s">
        <v>918</v>
      </c>
      <c r="E166" s="92" t="s">
        <v>681</v>
      </c>
      <c r="F166" s="202" t="s">
        <v>919</v>
      </c>
      <c r="G166" s="4"/>
      <c r="H166" s="92" t="s">
        <v>314</v>
      </c>
      <c r="I166" s="249" t="s">
        <v>920</v>
      </c>
      <c r="J166" s="139">
        <v>46043.0</v>
      </c>
      <c r="K166" s="79"/>
      <c r="L166" s="79"/>
      <c r="M166" s="154"/>
      <c r="N166" s="3"/>
      <c r="O166" s="4"/>
      <c r="P166" s="21"/>
      <c r="Q166" s="21"/>
      <c r="R166" s="21"/>
      <c r="S166" s="21"/>
    </row>
    <row r="167" ht="19.5" customHeight="1">
      <c r="A167" s="90">
        <v>163.0</v>
      </c>
      <c r="B167" s="144">
        <v>46013.0</v>
      </c>
      <c r="C167" s="92">
        <v>40.0</v>
      </c>
      <c r="D167" s="145" t="s">
        <v>918</v>
      </c>
      <c r="E167" s="92" t="s">
        <v>681</v>
      </c>
      <c r="F167" s="202" t="s">
        <v>919</v>
      </c>
      <c r="G167" s="4"/>
      <c r="H167" s="92" t="s">
        <v>314</v>
      </c>
      <c r="I167" s="249" t="s">
        <v>920</v>
      </c>
      <c r="J167" s="139">
        <v>46043.0</v>
      </c>
      <c r="K167" s="79"/>
      <c r="L167" s="79"/>
      <c r="M167" s="154"/>
      <c r="N167" s="3"/>
      <c r="O167" s="4"/>
      <c r="P167" s="21"/>
      <c r="Q167" s="21"/>
      <c r="R167" s="21"/>
      <c r="S167" s="21"/>
    </row>
    <row r="168" ht="19.5" customHeight="1">
      <c r="A168" s="90">
        <v>164.0</v>
      </c>
      <c r="B168" s="144">
        <v>46013.0</v>
      </c>
      <c r="C168" s="92">
        <v>124.0</v>
      </c>
      <c r="D168" s="145" t="s">
        <v>918</v>
      </c>
      <c r="E168" s="92" t="s">
        <v>681</v>
      </c>
      <c r="F168" s="202" t="s">
        <v>919</v>
      </c>
      <c r="G168" s="4"/>
      <c r="H168" s="92" t="s">
        <v>314</v>
      </c>
      <c r="I168" s="249" t="s">
        <v>920</v>
      </c>
      <c r="J168" s="139">
        <v>46043.0</v>
      </c>
      <c r="K168" s="79"/>
      <c r="L168" s="79"/>
      <c r="M168" s="154"/>
      <c r="N168" s="3"/>
      <c r="O168" s="4"/>
      <c r="P168" s="21"/>
      <c r="Q168" s="21"/>
      <c r="R168" s="21"/>
      <c r="S168" s="21"/>
    </row>
    <row r="169" ht="19.5" customHeight="1">
      <c r="A169" s="90">
        <v>165.0</v>
      </c>
      <c r="B169" s="144">
        <v>46013.0</v>
      </c>
      <c r="C169" s="92">
        <v>60.0</v>
      </c>
      <c r="D169" s="145" t="s">
        <v>918</v>
      </c>
      <c r="E169" s="92" t="s">
        <v>681</v>
      </c>
      <c r="F169" s="202" t="s">
        <v>919</v>
      </c>
      <c r="G169" s="4"/>
      <c r="H169" s="92" t="s">
        <v>314</v>
      </c>
      <c r="I169" s="249" t="s">
        <v>920</v>
      </c>
      <c r="J169" s="139">
        <v>46043.0</v>
      </c>
      <c r="K169" s="79"/>
      <c r="L169" s="79"/>
      <c r="M169" s="154"/>
      <c r="N169" s="3"/>
      <c r="O169" s="4"/>
      <c r="P169" s="21"/>
      <c r="Q169" s="21"/>
      <c r="R169" s="21"/>
      <c r="S169" s="21"/>
    </row>
    <row r="170" ht="19.5" customHeight="1">
      <c r="A170" s="92">
        <v>166.0</v>
      </c>
      <c r="B170" s="144">
        <v>46021.0</v>
      </c>
      <c r="C170" s="92" t="s">
        <v>921</v>
      </c>
      <c r="D170" s="145" t="s">
        <v>922</v>
      </c>
      <c r="E170" s="92" t="s">
        <v>923</v>
      </c>
      <c r="F170" s="202" t="s">
        <v>924</v>
      </c>
      <c r="G170" s="4"/>
      <c r="H170" s="92" t="s">
        <v>925</v>
      </c>
      <c r="I170" s="92" t="s">
        <v>904</v>
      </c>
      <c r="J170" s="90"/>
      <c r="K170" s="79"/>
      <c r="L170" s="79"/>
      <c r="M170" s="154"/>
      <c r="N170" s="3"/>
      <c r="O170" s="4"/>
      <c r="P170" s="21"/>
      <c r="Q170" s="21"/>
      <c r="R170" s="21"/>
      <c r="S170" s="21"/>
    </row>
    <row r="171" ht="19.5" customHeight="1">
      <c r="A171" s="92">
        <v>167.0</v>
      </c>
      <c r="B171" s="144">
        <v>46023.0</v>
      </c>
      <c r="C171" s="92" t="s">
        <v>921</v>
      </c>
      <c r="D171" s="145" t="s">
        <v>926</v>
      </c>
      <c r="E171" s="92" t="s">
        <v>921</v>
      </c>
      <c r="F171" s="202" t="s">
        <v>927</v>
      </c>
      <c r="G171" s="4"/>
      <c r="H171" s="92" t="s">
        <v>928</v>
      </c>
      <c r="I171" s="92" t="s">
        <v>904</v>
      </c>
      <c r="J171" s="85"/>
      <c r="K171" s="79"/>
      <c r="L171" s="79"/>
      <c r="M171" s="154"/>
      <c r="N171" s="3"/>
      <c r="O171" s="4"/>
      <c r="P171" s="21"/>
      <c r="Q171" s="21"/>
      <c r="R171" s="21"/>
      <c r="S171" s="21"/>
    </row>
    <row r="172" ht="19.5" customHeight="1">
      <c r="A172" s="92">
        <v>168.0</v>
      </c>
      <c r="B172" s="144">
        <v>46023.0</v>
      </c>
      <c r="C172" s="92" t="s">
        <v>921</v>
      </c>
      <c r="D172" s="145" t="s">
        <v>929</v>
      </c>
      <c r="E172" s="92" t="s">
        <v>921</v>
      </c>
      <c r="F172" s="202" t="s">
        <v>930</v>
      </c>
      <c r="G172" s="4"/>
      <c r="H172" s="92" t="s">
        <v>314</v>
      </c>
      <c r="I172" s="92" t="s">
        <v>904</v>
      </c>
      <c r="J172" s="90"/>
      <c r="K172" s="79"/>
      <c r="L172" s="79"/>
      <c r="M172" s="154"/>
      <c r="N172" s="3"/>
      <c r="O172" s="4"/>
      <c r="P172" s="21"/>
      <c r="Q172" s="21"/>
      <c r="R172" s="21"/>
      <c r="S172" s="21"/>
    </row>
    <row r="173">
      <c r="A173" s="91">
        <v>169.0</v>
      </c>
      <c r="B173" s="250">
        <v>46090.0</v>
      </c>
      <c r="C173" s="92" t="s">
        <v>921</v>
      </c>
      <c r="D173" s="231" t="s">
        <v>931</v>
      </c>
      <c r="E173" s="92" t="s">
        <v>921</v>
      </c>
      <c r="F173" s="251" t="s">
        <v>931</v>
      </c>
      <c r="G173" s="4"/>
      <c r="H173" s="90"/>
      <c r="I173" s="92" t="s">
        <v>904</v>
      </c>
      <c r="J173" s="85"/>
      <c r="K173" s="79"/>
      <c r="L173" s="79"/>
      <c r="M173" s="154"/>
      <c r="N173" s="3"/>
      <c r="O173" s="4"/>
      <c r="P173" s="21"/>
      <c r="Q173" s="21"/>
      <c r="R173" s="21"/>
      <c r="S173" s="21"/>
    </row>
    <row r="174" ht="19.5" customHeight="1">
      <c r="A174" s="90"/>
      <c r="B174" s="90"/>
      <c r="C174" s="90"/>
      <c r="D174" s="93"/>
      <c r="E174" s="90"/>
      <c r="F174" s="132"/>
      <c r="G174" s="4"/>
      <c r="H174" s="90"/>
      <c r="I174" s="90"/>
      <c r="J174" s="90"/>
      <c r="K174" s="79"/>
      <c r="L174" s="79"/>
      <c r="M174" s="154"/>
      <c r="N174" s="3"/>
      <c r="O174" s="4"/>
      <c r="P174" s="21"/>
      <c r="Q174" s="21"/>
      <c r="R174" s="21"/>
      <c r="S174" s="21"/>
    </row>
    <row r="175" ht="19.5" customHeight="1">
      <c r="A175" s="90"/>
      <c r="B175" s="90"/>
      <c r="C175" s="90"/>
      <c r="D175" s="93"/>
      <c r="E175" s="90"/>
      <c r="F175" s="132"/>
      <c r="G175" s="4"/>
      <c r="H175" s="90"/>
      <c r="I175" s="90"/>
      <c r="J175" s="85"/>
      <c r="K175" s="79"/>
      <c r="L175" s="79"/>
      <c r="M175" s="154"/>
      <c r="N175" s="3"/>
      <c r="O175" s="4"/>
      <c r="P175" s="21"/>
      <c r="Q175" s="21"/>
      <c r="R175" s="21"/>
      <c r="S175" s="21"/>
    </row>
    <row r="176" ht="19.5" customHeight="1">
      <c r="A176" s="90"/>
      <c r="B176" s="90"/>
      <c r="C176" s="90"/>
      <c r="D176" s="93"/>
      <c r="E176" s="90"/>
      <c r="F176" s="132"/>
      <c r="G176" s="4"/>
      <c r="H176" s="90"/>
      <c r="I176" s="90"/>
      <c r="J176" s="85"/>
      <c r="K176" s="79"/>
      <c r="L176" s="79"/>
      <c r="M176" s="154"/>
      <c r="N176" s="3"/>
      <c r="O176" s="4"/>
      <c r="P176" s="21"/>
      <c r="Q176" s="21"/>
      <c r="R176" s="21"/>
      <c r="S176" s="21"/>
    </row>
    <row r="177" ht="19.5" customHeight="1">
      <c r="A177" s="90"/>
      <c r="B177" s="90"/>
      <c r="C177" s="90"/>
      <c r="D177" s="93"/>
      <c r="E177" s="90"/>
      <c r="F177" s="132"/>
      <c r="G177" s="4"/>
      <c r="H177" s="90"/>
      <c r="I177" s="90"/>
      <c r="J177" s="90"/>
      <c r="K177" s="79"/>
      <c r="L177" s="79"/>
      <c r="M177" s="154"/>
      <c r="N177" s="3"/>
      <c r="O177" s="4"/>
      <c r="P177" s="21"/>
      <c r="Q177" s="21"/>
      <c r="R177" s="21"/>
      <c r="S177" s="21"/>
    </row>
    <row r="178" ht="19.5" customHeight="1">
      <c r="A178" s="90"/>
      <c r="B178" s="90"/>
      <c r="C178" s="90"/>
      <c r="D178" s="93"/>
      <c r="E178" s="90"/>
      <c r="F178" s="132"/>
      <c r="G178" s="4"/>
      <c r="H178" s="90"/>
      <c r="I178" s="90"/>
      <c r="J178" s="90"/>
      <c r="K178" s="79"/>
      <c r="L178" s="79"/>
      <c r="M178" s="154"/>
      <c r="N178" s="3"/>
      <c r="O178" s="4"/>
      <c r="P178" s="21"/>
      <c r="Q178" s="21"/>
      <c r="R178" s="21"/>
      <c r="S178" s="21"/>
    </row>
    <row r="179" ht="19.5" customHeight="1">
      <c r="A179" s="90"/>
      <c r="B179" s="90"/>
      <c r="C179" s="90"/>
      <c r="D179" s="93"/>
      <c r="E179" s="90"/>
      <c r="F179" s="132"/>
      <c r="G179" s="4"/>
      <c r="H179" s="90"/>
      <c r="I179" s="90"/>
      <c r="J179" s="85"/>
      <c r="K179" s="79"/>
      <c r="L179" s="79"/>
      <c r="M179" s="154"/>
      <c r="N179" s="3"/>
      <c r="O179" s="4"/>
      <c r="P179" s="21"/>
      <c r="Q179" s="21"/>
      <c r="R179" s="21"/>
      <c r="S179" s="21"/>
    </row>
    <row r="180" ht="19.5" customHeight="1">
      <c r="A180" s="90"/>
      <c r="B180" s="90"/>
      <c r="C180" s="90"/>
      <c r="D180" s="93"/>
      <c r="E180" s="90"/>
      <c r="F180" s="132"/>
      <c r="G180" s="4"/>
      <c r="H180" s="90"/>
      <c r="I180" s="90"/>
      <c r="J180" s="90"/>
      <c r="K180" s="79"/>
      <c r="L180" s="79"/>
      <c r="M180" s="154"/>
      <c r="N180" s="3"/>
      <c r="O180" s="4"/>
      <c r="P180" s="21"/>
      <c r="Q180" s="21"/>
      <c r="R180" s="21"/>
      <c r="S180" s="21"/>
    </row>
    <row r="181" ht="19.5" customHeight="1">
      <c r="A181" s="90"/>
      <c r="B181" s="90"/>
      <c r="C181" s="90"/>
      <c r="D181" s="93"/>
      <c r="E181" s="90"/>
      <c r="F181" s="132"/>
      <c r="G181" s="4"/>
      <c r="H181" s="90"/>
      <c r="I181" s="90"/>
      <c r="J181" s="85"/>
      <c r="K181" s="79"/>
      <c r="L181" s="79"/>
      <c r="M181" s="154"/>
      <c r="N181" s="3"/>
      <c r="O181" s="4"/>
      <c r="P181" s="21"/>
      <c r="Q181" s="21"/>
      <c r="R181" s="21"/>
      <c r="S181" s="21"/>
    </row>
    <row r="182" ht="19.5" customHeight="1">
      <c r="A182" s="90"/>
      <c r="B182" s="90"/>
      <c r="C182" s="90"/>
      <c r="D182" s="93"/>
      <c r="E182" s="90"/>
      <c r="F182" s="132"/>
      <c r="G182" s="4"/>
      <c r="H182" s="90"/>
      <c r="I182" s="90"/>
      <c r="J182" s="90"/>
      <c r="K182" s="79"/>
      <c r="L182" s="79"/>
      <c r="M182" s="154"/>
      <c r="N182" s="3"/>
      <c r="O182" s="4"/>
      <c r="P182" s="21"/>
      <c r="Q182" s="21"/>
      <c r="R182" s="21"/>
      <c r="S182" s="21"/>
    </row>
    <row r="183" ht="19.5" customHeight="1">
      <c r="A183" s="90"/>
      <c r="B183" s="90"/>
      <c r="C183" s="90"/>
      <c r="D183" s="93"/>
      <c r="E183" s="90"/>
      <c r="F183" s="132"/>
      <c r="G183" s="4"/>
      <c r="H183" s="90"/>
      <c r="I183" s="90"/>
      <c r="J183" s="90"/>
      <c r="K183" s="79"/>
      <c r="L183" s="79"/>
      <c r="M183" s="154"/>
      <c r="N183" s="3"/>
      <c r="O183" s="4"/>
      <c r="P183" s="21"/>
      <c r="Q183" s="21"/>
      <c r="R183" s="21"/>
      <c r="S183" s="21"/>
    </row>
    <row r="184" ht="19.5" customHeight="1">
      <c r="A184" s="90"/>
      <c r="B184" s="90"/>
      <c r="C184" s="90"/>
      <c r="D184" s="93"/>
      <c r="E184" s="90"/>
      <c r="F184" s="132"/>
      <c r="G184" s="4"/>
      <c r="H184" s="90"/>
      <c r="I184" s="90"/>
      <c r="J184" s="90"/>
      <c r="K184" s="79"/>
      <c r="L184" s="79"/>
      <c r="M184" s="154"/>
      <c r="N184" s="3"/>
      <c r="O184" s="4"/>
      <c r="P184" s="21"/>
      <c r="Q184" s="21"/>
      <c r="R184" s="21"/>
      <c r="S184" s="21"/>
    </row>
    <row r="185" ht="19.5" customHeight="1">
      <c r="A185" s="90"/>
      <c r="B185" s="90"/>
      <c r="C185" s="90"/>
      <c r="D185" s="93"/>
      <c r="E185" s="90"/>
      <c r="F185" s="132"/>
      <c r="G185" s="4"/>
      <c r="H185" s="90"/>
      <c r="I185" s="90"/>
      <c r="J185" s="90"/>
      <c r="K185" s="79"/>
      <c r="L185" s="79"/>
      <c r="M185" s="154"/>
      <c r="N185" s="3"/>
      <c r="O185" s="4"/>
      <c r="P185" s="21"/>
      <c r="Q185" s="21"/>
      <c r="R185" s="21"/>
      <c r="S185" s="21"/>
    </row>
    <row r="186" ht="19.5" customHeight="1">
      <c r="A186" s="90"/>
      <c r="B186" s="90"/>
      <c r="C186" s="90"/>
      <c r="D186" s="93"/>
      <c r="E186" s="90"/>
      <c r="F186" s="132"/>
      <c r="G186" s="4"/>
      <c r="H186" s="90"/>
      <c r="I186" s="90"/>
      <c r="J186" s="90"/>
      <c r="K186" s="79"/>
      <c r="L186" s="79"/>
      <c r="M186" s="154"/>
      <c r="N186" s="3"/>
      <c r="O186" s="4"/>
      <c r="P186" s="21"/>
      <c r="Q186" s="21"/>
      <c r="R186" s="21"/>
      <c r="S186" s="21"/>
    </row>
    <row r="187" ht="19.5" customHeight="1">
      <c r="A187" s="90"/>
      <c r="B187" s="90"/>
      <c r="C187" s="90"/>
      <c r="D187" s="93"/>
      <c r="E187" s="90"/>
      <c r="F187" s="132"/>
      <c r="G187" s="4"/>
      <c r="H187" s="90"/>
      <c r="I187" s="90"/>
      <c r="J187" s="90"/>
      <c r="K187" s="79"/>
      <c r="L187" s="79"/>
      <c r="M187" s="154"/>
      <c r="N187" s="3"/>
      <c r="O187" s="4"/>
      <c r="P187" s="21"/>
      <c r="Q187" s="21"/>
      <c r="R187" s="21"/>
      <c r="S187" s="21"/>
    </row>
    <row r="188" ht="19.5" customHeight="1">
      <c r="A188" s="90"/>
      <c r="B188" s="90"/>
      <c r="C188" s="90"/>
      <c r="D188" s="93"/>
      <c r="E188" s="90"/>
      <c r="F188" s="132"/>
      <c r="G188" s="4"/>
      <c r="H188" s="90"/>
      <c r="I188" s="90"/>
      <c r="J188" s="90"/>
      <c r="K188" s="79"/>
      <c r="L188" s="79"/>
      <c r="M188" s="154"/>
      <c r="N188" s="3"/>
      <c r="O188" s="4"/>
      <c r="P188" s="21"/>
      <c r="Q188" s="21"/>
      <c r="R188" s="21"/>
      <c r="S188" s="21"/>
    </row>
    <row r="189" ht="19.5" customHeight="1">
      <c r="A189" s="90"/>
      <c r="B189" s="90"/>
      <c r="C189" s="90"/>
      <c r="D189" s="93"/>
      <c r="E189" s="90"/>
      <c r="F189" s="132"/>
      <c r="G189" s="4"/>
      <c r="H189" s="90"/>
      <c r="I189" s="90"/>
      <c r="J189" s="85"/>
      <c r="K189" s="79"/>
      <c r="L189" s="79"/>
      <c r="M189" s="154"/>
      <c r="N189" s="3"/>
      <c r="O189" s="4"/>
      <c r="P189" s="21"/>
      <c r="Q189" s="21"/>
      <c r="R189" s="21"/>
      <c r="S189" s="21"/>
    </row>
    <row r="190" ht="19.5" customHeight="1">
      <c r="A190" s="90"/>
      <c r="B190" s="90"/>
      <c r="C190" s="90"/>
      <c r="D190" s="93"/>
      <c r="E190" s="90"/>
      <c r="F190" s="132"/>
      <c r="G190" s="4"/>
      <c r="H190" s="90"/>
      <c r="I190" s="90"/>
      <c r="J190" s="90"/>
      <c r="K190" s="79"/>
      <c r="L190" s="79"/>
      <c r="M190" s="154"/>
      <c r="N190" s="3"/>
      <c r="O190" s="4"/>
      <c r="P190" s="21"/>
      <c r="Q190" s="21"/>
      <c r="R190" s="21"/>
      <c r="S190" s="21"/>
    </row>
    <row r="191" ht="19.5" customHeight="1">
      <c r="A191" s="90"/>
      <c r="B191" s="90"/>
      <c r="C191" s="90"/>
      <c r="D191" s="93"/>
      <c r="E191" s="90"/>
      <c r="F191" s="132"/>
      <c r="G191" s="4"/>
      <c r="H191" s="90"/>
      <c r="I191" s="90"/>
      <c r="J191" s="90"/>
      <c r="K191" s="79"/>
      <c r="L191" s="79"/>
      <c r="M191" s="154"/>
      <c r="N191" s="3"/>
      <c r="O191" s="4"/>
      <c r="P191" s="21"/>
      <c r="Q191" s="21"/>
      <c r="R191" s="21"/>
      <c r="S191" s="21"/>
    </row>
    <row r="192" ht="19.5" customHeight="1">
      <c r="A192" s="90"/>
      <c r="B192" s="90"/>
      <c r="C192" s="90"/>
      <c r="D192" s="93"/>
      <c r="E192" s="90"/>
      <c r="F192" s="132"/>
      <c r="G192" s="4"/>
      <c r="H192" s="90"/>
      <c r="I192" s="90"/>
      <c r="J192" s="90"/>
      <c r="K192" s="79"/>
      <c r="L192" s="79"/>
      <c r="M192" s="154"/>
      <c r="N192" s="3"/>
      <c r="O192" s="4"/>
      <c r="P192" s="21"/>
      <c r="Q192" s="21"/>
      <c r="R192" s="21"/>
      <c r="S192" s="21"/>
    </row>
    <row r="193" ht="19.5" customHeight="1">
      <c r="A193" s="90"/>
      <c r="B193" s="90"/>
      <c r="C193" s="90"/>
      <c r="D193" s="93"/>
      <c r="E193" s="90"/>
      <c r="F193" s="132"/>
      <c r="G193" s="4"/>
      <c r="H193" s="90"/>
      <c r="I193" s="90"/>
      <c r="J193" s="90"/>
      <c r="K193" s="79"/>
      <c r="L193" s="79"/>
      <c r="M193" s="154"/>
      <c r="N193" s="3"/>
      <c r="O193" s="4"/>
      <c r="P193" s="21"/>
      <c r="Q193" s="21"/>
      <c r="R193" s="21"/>
      <c r="S193" s="21"/>
    </row>
    <row r="194" ht="19.5" customHeight="1">
      <c r="A194" s="90"/>
      <c r="B194" s="90"/>
      <c r="C194" s="90"/>
      <c r="D194" s="93"/>
      <c r="E194" s="90"/>
      <c r="F194" s="132"/>
      <c r="G194" s="4"/>
      <c r="H194" s="90"/>
      <c r="I194" s="90"/>
      <c r="J194" s="90"/>
      <c r="K194" s="79"/>
      <c r="L194" s="79"/>
      <c r="M194" s="154"/>
      <c r="N194" s="3"/>
      <c r="O194" s="4"/>
      <c r="P194" s="21"/>
      <c r="Q194" s="21"/>
      <c r="R194" s="21"/>
      <c r="S194" s="21"/>
    </row>
    <row r="195" ht="19.5" customHeight="1">
      <c r="A195" s="90"/>
      <c r="B195" s="90"/>
      <c r="C195" s="90"/>
      <c r="D195" s="93"/>
      <c r="E195" s="90"/>
      <c r="F195" s="132"/>
      <c r="G195" s="4"/>
      <c r="H195" s="90"/>
      <c r="I195" s="90"/>
      <c r="J195" s="85"/>
      <c r="K195" s="79"/>
      <c r="L195" s="79"/>
      <c r="M195" s="154"/>
      <c r="N195" s="3"/>
      <c r="O195" s="4"/>
      <c r="P195" s="21"/>
      <c r="Q195" s="21"/>
      <c r="R195" s="21"/>
      <c r="S195" s="21"/>
    </row>
    <row r="196" ht="19.5" customHeight="1">
      <c r="A196" s="90"/>
      <c r="B196" s="90"/>
      <c r="C196" s="90"/>
      <c r="D196" s="93"/>
      <c r="E196" s="90"/>
      <c r="F196" s="132"/>
      <c r="G196" s="4"/>
      <c r="H196" s="90"/>
      <c r="I196" s="90"/>
      <c r="J196" s="90"/>
      <c r="K196" s="79"/>
      <c r="L196" s="79"/>
      <c r="M196" s="154"/>
      <c r="N196" s="3"/>
      <c r="O196" s="4"/>
      <c r="P196" s="21"/>
      <c r="Q196" s="21"/>
      <c r="R196" s="21"/>
      <c r="S196" s="21"/>
    </row>
    <row r="197" ht="19.5" customHeight="1">
      <c r="A197" s="90"/>
      <c r="B197" s="90"/>
      <c r="C197" s="90"/>
      <c r="D197" s="93"/>
      <c r="E197" s="90"/>
      <c r="F197" s="132"/>
      <c r="G197" s="4"/>
      <c r="H197" s="90"/>
      <c r="I197" s="90"/>
      <c r="J197" s="85"/>
      <c r="K197" s="79"/>
      <c r="L197" s="79"/>
      <c r="M197" s="154"/>
      <c r="N197" s="3"/>
      <c r="O197" s="4"/>
      <c r="P197" s="21"/>
      <c r="Q197" s="21"/>
      <c r="R197" s="21"/>
      <c r="S197" s="21"/>
    </row>
    <row r="198" ht="19.5" customHeight="1">
      <c r="A198" s="90"/>
      <c r="B198" s="90"/>
      <c r="C198" s="90"/>
      <c r="D198" s="93"/>
      <c r="E198" s="90"/>
      <c r="F198" s="132"/>
      <c r="G198" s="4"/>
      <c r="H198" s="90"/>
      <c r="I198" s="90"/>
      <c r="J198" s="138"/>
      <c r="K198" s="79"/>
      <c r="L198" s="79"/>
      <c r="M198" s="154"/>
      <c r="N198" s="3"/>
      <c r="O198" s="4"/>
      <c r="P198" s="21"/>
      <c r="Q198" s="21"/>
      <c r="R198" s="21"/>
      <c r="S198" s="21"/>
    </row>
    <row r="199" ht="19.5" customHeight="1">
      <c r="A199" s="90"/>
      <c r="B199" s="90"/>
      <c r="C199" s="90"/>
      <c r="D199" s="93"/>
      <c r="E199" s="90"/>
      <c r="F199" s="132"/>
      <c r="G199" s="4"/>
      <c r="H199" s="90"/>
      <c r="I199" s="90"/>
      <c r="J199" s="90"/>
      <c r="K199" s="79"/>
      <c r="L199" s="79"/>
      <c r="M199" s="154"/>
      <c r="N199" s="3"/>
      <c r="O199" s="4"/>
      <c r="P199" s="21"/>
      <c r="Q199" s="21"/>
      <c r="R199" s="21"/>
      <c r="S199" s="21"/>
    </row>
    <row r="200" ht="19.5" customHeight="1">
      <c r="A200" s="90"/>
      <c r="B200" s="90"/>
      <c r="C200" s="90"/>
      <c r="D200" s="93"/>
      <c r="E200" s="90"/>
      <c r="F200" s="132"/>
      <c r="G200" s="4"/>
      <c r="H200" s="90"/>
      <c r="I200" s="90"/>
      <c r="J200" s="90"/>
      <c r="K200" s="79"/>
      <c r="L200" s="79"/>
      <c r="M200" s="154"/>
      <c r="N200" s="3"/>
      <c r="O200" s="4"/>
      <c r="P200" s="21"/>
      <c r="Q200" s="21"/>
      <c r="R200" s="21"/>
      <c r="S200" s="21"/>
    </row>
    <row r="201" ht="19.5" customHeight="1">
      <c r="A201" s="90"/>
      <c r="B201" s="90"/>
      <c r="C201" s="90"/>
      <c r="D201" s="93"/>
      <c r="E201" s="90"/>
      <c r="F201" s="132"/>
      <c r="G201" s="4"/>
      <c r="H201" s="90"/>
      <c r="I201" s="90"/>
      <c r="J201" s="90"/>
      <c r="K201" s="79"/>
      <c r="L201" s="79"/>
      <c r="M201" s="154"/>
      <c r="N201" s="3"/>
      <c r="O201" s="4"/>
      <c r="P201" s="21"/>
      <c r="Q201" s="21"/>
      <c r="R201" s="21"/>
      <c r="S201" s="21"/>
    </row>
    <row r="202" ht="19.5" customHeight="1">
      <c r="A202" s="90"/>
      <c r="B202" s="90"/>
      <c r="C202" s="90"/>
      <c r="D202" s="93"/>
      <c r="E202" s="90"/>
      <c r="F202" s="132"/>
      <c r="G202" s="4"/>
      <c r="H202" s="90"/>
      <c r="I202" s="90"/>
      <c r="J202" s="85"/>
      <c r="K202" s="79"/>
      <c r="L202" s="79"/>
      <c r="M202" s="154"/>
      <c r="N202" s="3"/>
      <c r="O202" s="4"/>
      <c r="P202" s="21"/>
      <c r="Q202" s="21"/>
      <c r="R202" s="21"/>
      <c r="S202" s="21"/>
    </row>
    <row r="203" ht="19.5" customHeight="1">
      <c r="A203" s="90"/>
      <c r="B203" s="90"/>
      <c r="C203" s="90"/>
      <c r="D203" s="93"/>
      <c r="E203" s="90"/>
      <c r="F203" s="132"/>
      <c r="G203" s="4"/>
      <c r="H203" s="90"/>
      <c r="I203" s="90"/>
      <c r="J203" s="90"/>
      <c r="K203" s="79"/>
      <c r="L203" s="79"/>
      <c r="M203" s="154"/>
      <c r="N203" s="3"/>
      <c r="O203" s="4"/>
      <c r="P203" s="21"/>
      <c r="Q203" s="21"/>
      <c r="R203" s="21"/>
      <c r="S203" s="21"/>
    </row>
    <row r="204" ht="19.5" customHeight="1">
      <c r="A204" s="90"/>
      <c r="B204" s="90"/>
      <c r="C204" s="90"/>
      <c r="D204" s="93"/>
      <c r="E204" s="90"/>
      <c r="F204" s="132"/>
      <c r="G204" s="4"/>
      <c r="H204" s="90"/>
      <c r="I204" s="90"/>
      <c r="J204" s="85"/>
      <c r="K204" s="79"/>
      <c r="L204" s="79"/>
      <c r="M204" s="154"/>
      <c r="N204" s="3"/>
      <c r="O204" s="4"/>
      <c r="P204" s="21"/>
      <c r="Q204" s="21"/>
      <c r="R204" s="21"/>
      <c r="S204" s="21"/>
    </row>
    <row r="205" ht="19.5" customHeight="1">
      <c r="A205" s="90"/>
      <c r="B205" s="90"/>
      <c r="C205" s="90"/>
      <c r="D205" s="93"/>
      <c r="E205" s="90"/>
      <c r="F205" s="132"/>
      <c r="G205" s="4"/>
      <c r="H205" s="90"/>
      <c r="I205" s="90"/>
      <c r="J205" s="85"/>
      <c r="K205" s="79"/>
      <c r="L205" s="79"/>
      <c r="M205" s="154"/>
      <c r="N205" s="3"/>
      <c r="O205" s="4"/>
      <c r="P205" s="21"/>
      <c r="Q205" s="21"/>
      <c r="R205" s="21"/>
      <c r="S205" s="21"/>
    </row>
    <row r="206" ht="19.5" customHeight="1">
      <c r="A206" s="90"/>
      <c r="B206" s="90"/>
      <c r="C206" s="90"/>
      <c r="D206" s="93"/>
      <c r="E206" s="90"/>
      <c r="F206" s="132"/>
      <c r="G206" s="4"/>
      <c r="H206" s="90"/>
      <c r="I206" s="90"/>
      <c r="J206" s="85"/>
      <c r="K206" s="79"/>
      <c r="L206" s="79"/>
      <c r="M206" s="154"/>
      <c r="N206" s="3"/>
      <c r="O206" s="4"/>
      <c r="P206" s="21"/>
      <c r="Q206" s="21"/>
      <c r="R206" s="21"/>
      <c r="S206" s="21"/>
    </row>
    <row r="207" ht="19.5" customHeight="1">
      <c r="A207" s="90"/>
      <c r="B207" s="90"/>
      <c r="C207" s="90"/>
      <c r="D207" s="93"/>
      <c r="E207" s="90"/>
      <c r="F207" s="132"/>
      <c r="G207" s="4"/>
      <c r="H207" s="90"/>
      <c r="I207" s="85"/>
      <c r="J207" s="85"/>
      <c r="K207" s="79"/>
      <c r="L207" s="79"/>
      <c r="M207" s="154"/>
      <c r="N207" s="3"/>
      <c r="O207" s="4"/>
      <c r="P207" s="21"/>
      <c r="Q207" s="21"/>
      <c r="R207" s="21"/>
      <c r="S207" s="21"/>
    </row>
    <row r="208" ht="19.5" customHeight="1">
      <c r="A208" s="90"/>
      <c r="B208" s="90"/>
      <c r="C208" s="90"/>
      <c r="D208" s="93"/>
      <c r="E208" s="90"/>
      <c r="F208" s="132"/>
      <c r="G208" s="4"/>
      <c r="H208" s="90"/>
      <c r="I208" s="85"/>
      <c r="J208" s="85"/>
      <c r="K208" s="79"/>
      <c r="L208" s="79"/>
      <c r="M208" s="154"/>
      <c r="N208" s="3"/>
      <c r="O208" s="4"/>
      <c r="P208" s="21"/>
      <c r="Q208" s="21"/>
      <c r="R208" s="21"/>
      <c r="S208" s="21"/>
    </row>
    <row r="209" ht="19.5" customHeight="1">
      <c r="A209" s="90"/>
      <c r="B209" s="90"/>
      <c r="C209" s="90"/>
      <c r="D209" s="93"/>
      <c r="E209" s="90"/>
      <c r="F209" s="132"/>
      <c r="G209" s="4"/>
      <c r="H209" s="90"/>
      <c r="I209" s="90"/>
      <c r="J209" s="85"/>
      <c r="K209" s="79"/>
      <c r="L209" s="79"/>
      <c r="M209" s="154"/>
      <c r="N209" s="3"/>
      <c r="O209" s="4"/>
      <c r="P209" s="21"/>
      <c r="Q209" s="21"/>
      <c r="R209" s="21"/>
      <c r="S209" s="21"/>
    </row>
    <row r="210" ht="19.5" customHeight="1">
      <c r="A210" s="90"/>
      <c r="B210" s="90"/>
      <c r="C210" s="90"/>
      <c r="D210" s="93"/>
      <c r="E210" s="90"/>
      <c r="F210" s="132"/>
      <c r="G210" s="4"/>
      <c r="H210" s="90"/>
      <c r="I210" s="90"/>
      <c r="J210" s="138"/>
      <c r="K210" s="79"/>
      <c r="L210" s="79"/>
      <c r="M210" s="154"/>
      <c r="N210" s="3"/>
      <c r="O210" s="4"/>
      <c r="P210" s="21"/>
      <c r="Q210" s="21"/>
      <c r="R210" s="21"/>
      <c r="S210" s="21"/>
    </row>
    <row r="211" ht="19.5" customHeight="1">
      <c r="A211" s="90"/>
      <c r="B211" s="90"/>
      <c r="C211" s="90"/>
      <c r="D211" s="93"/>
      <c r="E211" s="90"/>
      <c r="F211" s="132"/>
      <c r="G211" s="4"/>
      <c r="H211" s="90"/>
      <c r="I211" s="85"/>
      <c r="J211" s="85"/>
      <c r="K211" s="79"/>
      <c r="L211" s="79"/>
      <c r="M211" s="154"/>
      <c r="N211" s="3"/>
      <c r="O211" s="4"/>
      <c r="P211" s="21"/>
      <c r="Q211" s="21"/>
      <c r="R211" s="21"/>
      <c r="S211" s="21"/>
    </row>
    <row r="212" ht="19.5" customHeight="1">
      <c r="A212" s="90"/>
      <c r="B212" s="90"/>
      <c r="C212" s="90"/>
      <c r="D212" s="93"/>
      <c r="E212" s="90"/>
      <c r="F212" s="132"/>
      <c r="G212" s="4"/>
      <c r="H212" s="90"/>
      <c r="I212" s="85"/>
      <c r="J212" s="85"/>
      <c r="K212" s="79"/>
      <c r="L212" s="79"/>
      <c r="M212" s="154"/>
      <c r="N212" s="3"/>
      <c r="O212" s="4"/>
      <c r="P212" s="21"/>
      <c r="Q212" s="21"/>
      <c r="R212" s="21"/>
      <c r="S212" s="21"/>
    </row>
    <row r="213" ht="19.5" customHeight="1">
      <c r="A213" s="90"/>
      <c r="B213" s="90"/>
      <c r="C213" s="90"/>
      <c r="D213" s="93"/>
      <c r="E213" s="90"/>
      <c r="F213" s="132"/>
      <c r="G213" s="4"/>
      <c r="H213" s="90"/>
      <c r="I213" s="85"/>
      <c r="J213" s="85"/>
      <c r="K213" s="79"/>
      <c r="L213" s="79"/>
      <c r="M213" s="154"/>
      <c r="N213" s="3"/>
      <c r="O213" s="4"/>
      <c r="P213" s="21"/>
      <c r="Q213" s="21"/>
      <c r="R213" s="21"/>
      <c r="S213" s="21"/>
    </row>
    <row r="214" ht="19.5" customHeight="1">
      <c r="A214" s="90"/>
      <c r="B214" s="139"/>
      <c r="C214" s="90"/>
      <c r="D214" s="93"/>
      <c r="E214" s="90"/>
      <c r="F214" s="132"/>
      <c r="G214" s="4"/>
      <c r="H214" s="90"/>
      <c r="I214" s="85"/>
      <c r="J214" s="139"/>
      <c r="K214" s="79"/>
      <c r="L214" s="79"/>
      <c r="M214" s="154"/>
      <c r="N214" s="3"/>
      <c r="O214" s="4"/>
      <c r="P214" s="21"/>
      <c r="Q214" s="21"/>
      <c r="R214" s="21"/>
      <c r="S214" s="21"/>
    </row>
    <row r="215" ht="19.5" customHeight="1">
      <c r="A215" s="90"/>
      <c r="B215" s="139"/>
      <c r="C215" s="90"/>
      <c r="D215" s="93"/>
      <c r="E215" s="90"/>
      <c r="F215" s="132"/>
      <c r="G215" s="4"/>
      <c r="H215" s="90"/>
      <c r="I215" s="85"/>
      <c r="J215" s="85"/>
      <c r="K215" s="79"/>
      <c r="L215" s="79"/>
      <c r="M215" s="154"/>
      <c r="N215" s="3"/>
      <c r="O215" s="4"/>
      <c r="P215" s="21"/>
      <c r="Q215" s="21"/>
      <c r="R215" s="21"/>
      <c r="S215" s="21"/>
    </row>
    <row r="216" ht="19.5" customHeight="1">
      <c r="A216" s="90"/>
      <c r="B216" s="138"/>
      <c r="C216" s="90"/>
      <c r="D216" s="93"/>
      <c r="E216" s="90"/>
      <c r="F216" s="132"/>
      <c r="G216" s="4"/>
      <c r="H216" s="90"/>
      <c r="I216" s="85"/>
      <c r="J216" s="138"/>
      <c r="K216" s="79"/>
      <c r="L216" s="79"/>
      <c r="M216" s="154"/>
      <c r="N216" s="3"/>
      <c r="O216" s="4"/>
      <c r="P216" s="21"/>
      <c r="Q216" s="21"/>
      <c r="R216" s="21"/>
      <c r="S216" s="21"/>
    </row>
    <row r="217" ht="19.5" customHeight="1">
      <c r="A217" s="90"/>
      <c r="B217" s="138"/>
      <c r="C217" s="90"/>
      <c r="D217" s="93"/>
      <c r="E217" s="90"/>
      <c r="F217" s="132"/>
      <c r="G217" s="4"/>
      <c r="H217" s="90"/>
      <c r="I217" s="85"/>
      <c r="J217" s="138"/>
      <c r="K217" s="79"/>
      <c r="L217" s="79"/>
      <c r="M217" s="154"/>
      <c r="N217" s="3"/>
      <c r="O217" s="4"/>
      <c r="P217" s="21"/>
      <c r="Q217" s="21"/>
      <c r="R217" s="21"/>
      <c r="S217" s="21"/>
    </row>
    <row r="218" ht="19.5" customHeight="1">
      <c r="A218" s="90"/>
      <c r="B218" s="138"/>
      <c r="C218" s="90"/>
      <c r="D218" s="93"/>
      <c r="E218" s="90"/>
      <c r="F218" s="132"/>
      <c r="G218" s="4"/>
      <c r="H218" s="90"/>
      <c r="I218" s="90"/>
      <c r="J218" s="85"/>
      <c r="K218" s="79"/>
      <c r="L218" s="79"/>
      <c r="M218" s="154"/>
      <c r="N218" s="3"/>
      <c r="O218" s="4"/>
      <c r="P218" s="21"/>
      <c r="Q218" s="21"/>
      <c r="R218" s="21"/>
      <c r="S218" s="21"/>
    </row>
    <row r="219" ht="19.5" customHeight="1">
      <c r="A219" s="90"/>
      <c r="B219" s="138"/>
      <c r="C219" s="90"/>
      <c r="D219" s="93"/>
      <c r="E219" s="90"/>
      <c r="F219" s="132"/>
      <c r="G219" s="4"/>
      <c r="H219" s="90"/>
      <c r="I219" s="85"/>
      <c r="J219" s="138"/>
      <c r="K219" s="79"/>
      <c r="L219" s="79"/>
      <c r="M219" s="154"/>
      <c r="N219" s="3"/>
      <c r="O219" s="4"/>
      <c r="P219" s="21"/>
      <c r="Q219" s="21"/>
      <c r="R219" s="21"/>
      <c r="S219" s="21"/>
    </row>
    <row r="220" ht="19.5" customHeight="1">
      <c r="A220" s="90"/>
      <c r="B220" s="138"/>
      <c r="C220" s="90"/>
      <c r="D220" s="93"/>
      <c r="E220" s="90"/>
      <c r="F220" s="132"/>
      <c r="G220" s="4"/>
      <c r="H220" s="90"/>
      <c r="I220" s="90"/>
      <c r="J220" s="85"/>
      <c r="K220" s="79"/>
      <c r="L220" s="79"/>
      <c r="M220" s="154"/>
      <c r="N220" s="3"/>
      <c r="O220" s="4"/>
      <c r="P220" s="21"/>
      <c r="Q220" s="21"/>
      <c r="R220" s="21"/>
      <c r="S220" s="21"/>
    </row>
    <row r="221" ht="19.5" customHeight="1">
      <c r="A221" s="90"/>
      <c r="B221" s="138"/>
      <c r="C221" s="90"/>
      <c r="D221" s="93"/>
      <c r="E221" s="90"/>
      <c r="F221" s="132"/>
      <c r="G221" s="4"/>
      <c r="H221" s="90"/>
      <c r="I221" s="85"/>
      <c r="J221" s="138"/>
      <c r="K221" s="79"/>
      <c r="L221" s="79"/>
      <c r="M221" s="154"/>
      <c r="N221" s="3"/>
      <c r="O221" s="4"/>
      <c r="P221" s="21"/>
      <c r="Q221" s="21"/>
      <c r="R221" s="21"/>
      <c r="S221" s="21"/>
    </row>
    <row r="222" ht="19.5" customHeight="1">
      <c r="A222" s="90"/>
      <c r="B222" s="138"/>
      <c r="C222" s="90"/>
      <c r="D222" s="93"/>
      <c r="E222" s="90"/>
      <c r="F222" s="132"/>
      <c r="G222" s="4"/>
      <c r="H222" s="90"/>
      <c r="I222" s="85"/>
      <c r="J222" s="138"/>
      <c r="K222" s="79"/>
      <c r="L222" s="79"/>
      <c r="M222" s="154"/>
      <c r="N222" s="3"/>
      <c r="O222" s="4"/>
      <c r="P222" s="21"/>
      <c r="Q222" s="21"/>
      <c r="R222" s="21"/>
      <c r="S222" s="21"/>
    </row>
    <row r="223" ht="19.5" customHeight="1">
      <c r="A223" s="90"/>
      <c r="B223" s="138"/>
      <c r="C223" s="90"/>
      <c r="D223" s="93"/>
      <c r="E223" s="90"/>
      <c r="F223" s="132"/>
      <c r="G223" s="4"/>
      <c r="H223" s="90"/>
      <c r="I223" s="85"/>
      <c r="J223" s="138"/>
      <c r="K223" s="79"/>
      <c r="L223" s="79"/>
      <c r="M223" s="154"/>
      <c r="N223" s="3"/>
      <c r="O223" s="4"/>
      <c r="P223" s="21"/>
      <c r="Q223" s="21"/>
      <c r="R223" s="21"/>
      <c r="S223" s="21"/>
    </row>
    <row r="224" ht="19.5" customHeight="1">
      <c r="A224" s="90"/>
      <c r="B224" s="138"/>
      <c r="C224" s="90"/>
      <c r="D224" s="93"/>
      <c r="E224" s="90"/>
      <c r="F224" s="132"/>
      <c r="G224" s="4"/>
      <c r="H224" s="90"/>
      <c r="I224" s="85"/>
      <c r="J224" s="138"/>
      <c r="K224" s="79"/>
      <c r="L224" s="79"/>
      <c r="M224" s="154"/>
      <c r="N224" s="3"/>
      <c r="O224" s="4"/>
      <c r="P224" s="21"/>
      <c r="Q224" s="21"/>
      <c r="R224" s="21"/>
      <c r="S224" s="21"/>
    </row>
    <row r="225" ht="19.5" customHeight="1">
      <c r="A225" s="90"/>
      <c r="B225" s="138"/>
      <c r="C225" s="90"/>
      <c r="D225" s="93"/>
      <c r="E225" s="90"/>
      <c r="F225" s="132"/>
      <c r="G225" s="4"/>
      <c r="H225" s="90"/>
      <c r="I225" s="85"/>
      <c r="J225" s="138"/>
      <c r="K225" s="79"/>
      <c r="L225" s="79"/>
      <c r="M225" s="154"/>
      <c r="N225" s="3"/>
      <c r="O225" s="4"/>
      <c r="P225" s="21"/>
      <c r="Q225" s="21"/>
      <c r="R225" s="21"/>
      <c r="S225" s="21"/>
    </row>
    <row r="226" ht="19.5" customHeight="1">
      <c r="A226" s="90"/>
      <c r="B226" s="138"/>
      <c r="C226" s="90"/>
      <c r="D226" s="93"/>
      <c r="E226" s="90"/>
      <c r="F226" s="132"/>
      <c r="G226" s="4"/>
      <c r="H226" s="90"/>
      <c r="I226" s="85"/>
      <c r="J226" s="138"/>
      <c r="K226" s="79"/>
      <c r="L226" s="79"/>
      <c r="M226" s="154"/>
      <c r="N226" s="3"/>
      <c r="O226" s="4"/>
      <c r="P226" s="21"/>
      <c r="Q226" s="21"/>
      <c r="R226" s="21"/>
      <c r="S226" s="21"/>
    </row>
    <row r="227" ht="19.5" customHeight="1">
      <c r="A227" s="90"/>
      <c r="B227" s="138"/>
      <c r="C227" s="90"/>
      <c r="D227" s="93"/>
      <c r="E227" s="90"/>
      <c r="F227" s="132"/>
      <c r="G227" s="4"/>
      <c r="H227" s="90"/>
      <c r="I227" s="85"/>
      <c r="J227" s="138"/>
      <c r="K227" s="79"/>
      <c r="L227" s="79"/>
      <c r="M227" s="154"/>
      <c r="N227" s="3"/>
      <c r="O227" s="4"/>
      <c r="P227" s="21"/>
      <c r="Q227" s="21"/>
      <c r="R227" s="21"/>
      <c r="S227" s="21"/>
    </row>
    <row r="228" ht="19.5" customHeight="1">
      <c r="A228" s="90"/>
      <c r="B228" s="139"/>
      <c r="C228" s="90"/>
      <c r="D228" s="93"/>
      <c r="E228" s="90"/>
      <c r="F228" s="132"/>
      <c r="G228" s="4"/>
      <c r="H228" s="90"/>
      <c r="I228" s="90"/>
      <c r="J228" s="85"/>
      <c r="K228" s="79"/>
      <c r="L228" s="79"/>
      <c r="M228" s="154"/>
      <c r="N228" s="3"/>
      <c r="O228" s="4"/>
      <c r="P228" s="21"/>
      <c r="Q228" s="21"/>
      <c r="R228" s="21"/>
      <c r="S228" s="21"/>
    </row>
    <row r="229" ht="19.5" customHeight="1">
      <c r="A229" s="90"/>
      <c r="B229" s="138"/>
      <c r="C229" s="90"/>
      <c r="D229" s="93"/>
      <c r="E229" s="90"/>
      <c r="F229" s="132"/>
      <c r="G229" s="4"/>
      <c r="H229" s="90"/>
      <c r="I229" s="85"/>
      <c r="J229" s="138"/>
      <c r="K229" s="79"/>
      <c r="L229" s="79"/>
      <c r="M229" s="154"/>
      <c r="N229" s="3"/>
      <c r="O229" s="4"/>
      <c r="P229" s="21"/>
      <c r="Q229" s="21"/>
      <c r="R229" s="21"/>
      <c r="S229" s="21"/>
    </row>
    <row r="230" ht="19.5" customHeight="1">
      <c r="A230" s="90"/>
      <c r="B230" s="138"/>
      <c r="C230" s="90"/>
      <c r="D230" s="93"/>
      <c r="E230" s="90"/>
      <c r="F230" s="132"/>
      <c r="G230" s="4"/>
      <c r="H230" s="90"/>
      <c r="I230" s="85"/>
      <c r="J230" s="85"/>
      <c r="K230" s="79"/>
      <c r="L230" s="79"/>
      <c r="M230" s="154"/>
      <c r="N230" s="3"/>
      <c r="O230" s="4"/>
      <c r="P230" s="21"/>
      <c r="Q230" s="21"/>
      <c r="R230" s="21"/>
      <c r="S230" s="21"/>
    </row>
    <row r="231" ht="19.5" customHeight="1">
      <c r="A231" s="90"/>
      <c r="B231" s="138"/>
      <c r="C231" s="90"/>
      <c r="D231" s="93"/>
      <c r="E231" s="90"/>
      <c r="F231" s="132"/>
      <c r="G231" s="4"/>
      <c r="H231" s="90"/>
      <c r="I231" s="85"/>
      <c r="J231" s="138"/>
      <c r="K231" s="79"/>
      <c r="L231" s="79"/>
      <c r="M231" s="154"/>
      <c r="N231" s="3"/>
      <c r="O231" s="4"/>
      <c r="P231" s="21"/>
      <c r="Q231" s="21"/>
      <c r="R231" s="21"/>
      <c r="S231" s="21"/>
    </row>
    <row r="232" ht="19.5" customHeight="1">
      <c r="A232" s="90"/>
      <c r="B232" s="138"/>
      <c r="C232" s="90"/>
      <c r="D232" s="93"/>
      <c r="E232" s="90"/>
      <c r="F232" s="132"/>
      <c r="G232" s="4"/>
      <c r="H232" s="90"/>
      <c r="I232" s="90"/>
      <c r="J232" s="85"/>
      <c r="K232" s="79"/>
      <c r="L232" s="79"/>
      <c r="M232" s="154"/>
      <c r="N232" s="3"/>
      <c r="O232" s="4"/>
      <c r="P232" s="21"/>
      <c r="Q232" s="21"/>
      <c r="R232" s="21"/>
      <c r="S232" s="21"/>
    </row>
    <row r="233" ht="19.5" customHeight="1">
      <c r="A233" s="90"/>
      <c r="B233" s="138"/>
      <c r="C233" s="90"/>
      <c r="D233" s="93"/>
      <c r="E233" s="90"/>
      <c r="F233" s="132"/>
      <c r="G233" s="4"/>
      <c r="H233" s="90"/>
      <c r="I233" s="85"/>
      <c r="J233" s="138"/>
      <c r="K233" s="79"/>
      <c r="L233" s="79"/>
      <c r="M233" s="154"/>
      <c r="N233" s="3"/>
      <c r="O233" s="4"/>
      <c r="P233" s="21"/>
      <c r="Q233" s="21"/>
      <c r="R233" s="21"/>
      <c r="S233" s="21"/>
    </row>
    <row r="234" ht="19.5" customHeight="1">
      <c r="A234" s="90"/>
      <c r="B234" s="138"/>
      <c r="C234" s="90"/>
      <c r="D234" s="93"/>
      <c r="E234" s="90"/>
      <c r="F234" s="132"/>
      <c r="G234" s="4"/>
      <c r="H234" s="90"/>
      <c r="I234" s="85"/>
      <c r="J234" s="138"/>
      <c r="K234" s="79"/>
      <c r="L234" s="79"/>
      <c r="M234" s="154"/>
      <c r="N234" s="3"/>
      <c r="O234" s="4"/>
      <c r="P234" s="21"/>
      <c r="Q234" s="21"/>
      <c r="R234" s="21"/>
      <c r="S234" s="21"/>
    </row>
    <row r="235" ht="19.5" customHeight="1">
      <c r="A235" s="90"/>
      <c r="B235" s="138"/>
      <c r="C235" s="90"/>
      <c r="D235" s="93"/>
      <c r="E235" s="90"/>
      <c r="F235" s="132"/>
      <c r="G235" s="4"/>
      <c r="H235" s="90"/>
      <c r="I235" s="85"/>
      <c r="J235" s="90"/>
      <c r="K235" s="79"/>
      <c r="L235" s="79"/>
      <c r="M235" s="154"/>
      <c r="N235" s="3"/>
      <c r="O235" s="4"/>
      <c r="P235" s="21"/>
      <c r="Q235" s="21"/>
      <c r="R235" s="21"/>
      <c r="S235" s="21"/>
    </row>
    <row r="236" ht="19.5" customHeight="1">
      <c r="A236" s="90"/>
      <c r="B236" s="139"/>
      <c r="C236" s="90"/>
      <c r="D236" s="93"/>
      <c r="E236" s="90"/>
      <c r="F236" s="132"/>
      <c r="G236" s="4"/>
      <c r="H236" s="90"/>
      <c r="I236" s="85"/>
      <c r="J236" s="139"/>
      <c r="K236" s="79"/>
      <c r="L236" s="79"/>
      <c r="M236" s="154"/>
      <c r="N236" s="3"/>
      <c r="O236" s="4"/>
      <c r="P236" s="21"/>
      <c r="Q236" s="21"/>
      <c r="R236" s="21"/>
      <c r="S236" s="21"/>
    </row>
    <row r="237" ht="19.5" customHeight="1">
      <c r="A237" s="90"/>
      <c r="B237" s="139"/>
      <c r="C237" s="90"/>
      <c r="D237" s="93"/>
      <c r="E237" s="90"/>
      <c r="F237" s="132"/>
      <c r="G237" s="4"/>
      <c r="H237" s="90"/>
      <c r="I237" s="90"/>
      <c r="J237" s="85"/>
      <c r="K237" s="79"/>
      <c r="L237" s="79"/>
      <c r="M237" s="154"/>
      <c r="N237" s="3"/>
      <c r="O237" s="4"/>
      <c r="P237" s="21"/>
      <c r="Q237" s="21"/>
      <c r="R237" s="21"/>
      <c r="S237" s="21"/>
    </row>
    <row r="238" ht="19.5" customHeight="1">
      <c r="A238" s="90"/>
      <c r="B238" s="139"/>
      <c r="C238" s="90"/>
      <c r="D238" s="93"/>
      <c r="E238" s="90"/>
      <c r="F238" s="132"/>
      <c r="G238" s="4"/>
      <c r="H238" s="90"/>
      <c r="I238" s="85"/>
      <c r="J238" s="139"/>
      <c r="K238" s="79"/>
      <c r="L238" s="79"/>
      <c r="M238" s="154"/>
      <c r="N238" s="3"/>
      <c r="O238" s="4"/>
      <c r="P238" s="21"/>
      <c r="Q238" s="21"/>
      <c r="R238" s="21"/>
      <c r="S238" s="21"/>
    </row>
    <row r="239" ht="19.5" customHeight="1">
      <c r="A239" s="90"/>
      <c r="B239" s="139"/>
      <c r="C239" s="90"/>
      <c r="D239" s="93"/>
      <c r="E239" s="90"/>
      <c r="F239" s="132"/>
      <c r="G239" s="4"/>
      <c r="H239" s="90"/>
      <c r="I239" s="85"/>
      <c r="J239" s="139"/>
      <c r="K239" s="79"/>
      <c r="L239" s="79"/>
      <c r="M239" s="154"/>
      <c r="N239" s="3"/>
      <c r="O239" s="4"/>
      <c r="P239" s="21"/>
      <c r="Q239" s="21"/>
      <c r="R239" s="21"/>
      <c r="S239" s="21"/>
    </row>
    <row r="240" ht="19.5" customHeight="1">
      <c r="A240" s="90"/>
      <c r="B240" s="139"/>
      <c r="C240" s="90"/>
      <c r="D240" s="93"/>
      <c r="E240" s="90"/>
      <c r="F240" s="132"/>
      <c r="G240" s="4"/>
      <c r="H240" s="90"/>
      <c r="I240" s="85"/>
      <c r="J240" s="139"/>
      <c r="K240" s="79"/>
      <c r="L240" s="79"/>
      <c r="M240" s="154"/>
      <c r="N240" s="3"/>
      <c r="O240" s="4"/>
      <c r="P240" s="21"/>
      <c r="Q240" s="21"/>
      <c r="R240" s="21"/>
      <c r="S240" s="21"/>
    </row>
    <row r="241" ht="19.5" customHeight="1">
      <c r="A241" s="90"/>
      <c r="B241" s="139"/>
      <c r="C241" s="90"/>
      <c r="D241" s="93"/>
      <c r="E241" s="90"/>
      <c r="F241" s="132"/>
      <c r="G241" s="4"/>
      <c r="H241" s="90"/>
      <c r="I241" s="85"/>
      <c r="J241" s="139"/>
      <c r="K241" s="79"/>
      <c r="L241" s="79"/>
      <c r="M241" s="154"/>
      <c r="N241" s="3"/>
      <c r="O241" s="4"/>
      <c r="P241" s="21"/>
      <c r="Q241" s="21"/>
      <c r="R241" s="21"/>
      <c r="S241" s="21"/>
    </row>
    <row r="242" ht="19.5" customHeight="1">
      <c r="A242" s="90"/>
      <c r="B242" s="139"/>
      <c r="C242" s="90"/>
      <c r="D242" s="93"/>
      <c r="E242" s="90"/>
      <c r="F242" s="132"/>
      <c r="G242" s="4"/>
      <c r="H242" s="90"/>
      <c r="I242" s="85"/>
      <c r="J242" s="139"/>
      <c r="K242" s="79"/>
      <c r="L242" s="79"/>
      <c r="M242" s="154"/>
      <c r="N242" s="3"/>
      <c r="O242" s="4"/>
      <c r="P242" s="21"/>
      <c r="Q242" s="21"/>
      <c r="R242" s="21"/>
      <c r="S242" s="21"/>
    </row>
    <row r="243" ht="19.5" customHeight="1">
      <c r="A243" s="90"/>
      <c r="B243" s="139"/>
      <c r="C243" s="90"/>
      <c r="D243" s="93"/>
      <c r="E243" s="90"/>
      <c r="F243" s="132"/>
      <c r="G243" s="4"/>
      <c r="H243" s="90"/>
      <c r="I243" s="85"/>
      <c r="J243" s="139"/>
      <c r="K243" s="79"/>
      <c r="L243" s="79"/>
      <c r="M243" s="154"/>
      <c r="N243" s="3"/>
      <c r="O243" s="4"/>
      <c r="P243" s="21"/>
      <c r="Q243" s="21"/>
      <c r="R243" s="21"/>
      <c r="S243" s="21"/>
    </row>
    <row r="244" ht="19.5" customHeight="1">
      <c r="A244" s="90"/>
      <c r="B244" s="139"/>
      <c r="C244" s="90"/>
      <c r="D244" s="93"/>
      <c r="E244" s="90"/>
      <c r="F244" s="132"/>
      <c r="G244" s="4"/>
      <c r="H244" s="90"/>
      <c r="I244" s="90"/>
      <c r="J244" s="79"/>
      <c r="K244" s="79"/>
      <c r="L244" s="79"/>
      <c r="M244" s="154"/>
      <c r="N244" s="3"/>
      <c r="O244" s="4"/>
      <c r="P244" s="21"/>
      <c r="Q244" s="21"/>
      <c r="R244" s="21"/>
      <c r="S244" s="21"/>
    </row>
    <row r="245" ht="19.5" customHeight="1">
      <c r="A245" s="90"/>
      <c r="B245" s="139"/>
      <c r="C245" s="90"/>
      <c r="D245" s="93"/>
      <c r="E245" s="90"/>
      <c r="F245" s="132"/>
      <c r="G245" s="4"/>
      <c r="H245" s="90"/>
      <c r="I245" s="90"/>
      <c r="J245" s="139"/>
      <c r="K245" s="79"/>
      <c r="L245" s="79"/>
      <c r="M245" s="154"/>
      <c r="N245" s="3"/>
      <c r="O245" s="4"/>
      <c r="P245" s="21"/>
      <c r="Q245" s="21"/>
      <c r="R245" s="21"/>
      <c r="S245" s="21"/>
    </row>
    <row r="246" ht="19.5" customHeight="1">
      <c r="A246" s="90"/>
      <c r="B246" s="139"/>
      <c r="C246" s="90"/>
      <c r="D246" s="93"/>
      <c r="E246" s="90"/>
      <c r="F246" s="132"/>
      <c r="G246" s="4"/>
      <c r="H246" s="90"/>
      <c r="I246" s="90"/>
      <c r="J246" s="139"/>
      <c r="K246" s="79"/>
      <c r="L246" s="79"/>
      <c r="M246" s="154"/>
      <c r="N246" s="3"/>
      <c r="O246" s="4"/>
      <c r="P246" s="21"/>
      <c r="Q246" s="21"/>
      <c r="R246" s="21"/>
      <c r="S246" s="21"/>
    </row>
    <row r="247" ht="19.5" customHeight="1">
      <c r="A247" s="90"/>
      <c r="B247" s="139"/>
      <c r="C247" s="90"/>
      <c r="D247" s="93"/>
      <c r="E247" s="90"/>
      <c r="F247" s="132"/>
      <c r="G247" s="4"/>
      <c r="H247" s="90"/>
      <c r="I247" s="90"/>
      <c r="J247" s="139"/>
      <c r="K247" s="79"/>
      <c r="L247" s="79"/>
      <c r="M247" s="154"/>
      <c r="N247" s="3"/>
      <c r="O247" s="4"/>
      <c r="P247" s="21"/>
      <c r="Q247" s="21"/>
      <c r="R247" s="21"/>
      <c r="S247" s="21"/>
    </row>
    <row r="248" ht="19.5" customHeight="1">
      <c r="A248" s="90"/>
      <c r="B248" s="139"/>
      <c r="C248" s="90"/>
      <c r="D248" s="93"/>
      <c r="E248" s="90"/>
      <c r="F248" s="132"/>
      <c r="G248" s="4"/>
      <c r="H248" s="90"/>
      <c r="I248" s="90"/>
      <c r="J248" s="79"/>
      <c r="K248" s="79"/>
      <c r="L248" s="79"/>
      <c r="M248" s="154"/>
      <c r="N248" s="3"/>
      <c r="O248" s="4"/>
      <c r="P248" s="21"/>
      <c r="Q248" s="21"/>
      <c r="R248" s="21"/>
      <c r="S248" s="21"/>
    </row>
    <row r="249" ht="19.5" customHeight="1">
      <c r="A249" s="90"/>
      <c r="B249" s="139"/>
      <c r="C249" s="90"/>
      <c r="D249" s="93"/>
      <c r="E249" s="90"/>
      <c r="F249" s="132"/>
      <c r="G249" s="4"/>
      <c r="H249" s="90"/>
      <c r="I249" s="85"/>
      <c r="J249" s="139"/>
      <c r="K249" s="79"/>
      <c r="L249" s="79"/>
      <c r="M249" s="154"/>
      <c r="N249" s="3"/>
      <c r="O249" s="4"/>
      <c r="P249" s="21"/>
      <c r="Q249" s="21"/>
      <c r="R249" s="21"/>
      <c r="S249" s="21"/>
    </row>
    <row r="250" ht="19.5" customHeight="1">
      <c r="A250" s="90"/>
      <c r="B250" s="139"/>
      <c r="C250" s="90"/>
      <c r="D250" s="93"/>
      <c r="E250" s="90"/>
      <c r="F250" s="132"/>
      <c r="G250" s="4"/>
      <c r="H250" s="90"/>
      <c r="I250" s="90"/>
      <c r="J250" s="139"/>
      <c r="K250" s="79"/>
      <c r="L250" s="79"/>
      <c r="M250" s="154"/>
      <c r="N250" s="3"/>
      <c r="O250" s="4"/>
      <c r="P250" s="21"/>
      <c r="Q250" s="21"/>
      <c r="R250" s="21"/>
      <c r="S250" s="21"/>
    </row>
    <row r="251" ht="19.5" customHeight="1">
      <c r="A251" s="90"/>
      <c r="B251" s="139"/>
      <c r="C251" s="90"/>
      <c r="D251" s="93"/>
      <c r="E251" s="90"/>
      <c r="F251" s="132"/>
      <c r="G251" s="4"/>
      <c r="H251" s="90"/>
      <c r="I251" s="90"/>
      <c r="J251" s="138"/>
      <c r="K251" s="79"/>
      <c r="L251" s="79"/>
      <c r="M251" s="154"/>
      <c r="N251" s="3"/>
      <c r="O251" s="4"/>
      <c r="P251" s="21"/>
      <c r="Q251" s="21"/>
      <c r="R251" s="21"/>
      <c r="S251" s="21"/>
    </row>
    <row r="252" ht="19.5" customHeight="1">
      <c r="A252" s="90"/>
      <c r="B252" s="139"/>
      <c r="C252" s="90"/>
      <c r="D252" s="93"/>
      <c r="E252" s="90"/>
      <c r="F252" s="132"/>
      <c r="G252" s="4"/>
      <c r="H252" s="90"/>
      <c r="I252" s="90"/>
      <c r="J252" s="139"/>
      <c r="K252" s="79"/>
      <c r="L252" s="79"/>
      <c r="M252" s="154"/>
      <c r="N252" s="3"/>
      <c r="O252" s="4"/>
      <c r="P252" s="21"/>
      <c r="Q252" s="21"/>
      <c r="R252" s="21"/>
      <c r="S252" s="21"/>
    </row>
    <row r="253" ht="19.5" customHeight="1">
      <c r="A253" s="90"/>
      <c r="B253" s="139"/>
      <c r="C253" s="90"/>
      <c r="D253" s="93"/>
      <c r="E253" s="90"/>
      <c r="F253" s="132"/>
      <c r="G253" s="4"/>
      <c r="H253" s="90"/>
      <c r="I253" s="90"/>
      <c r="J253" s="139"/>
      <c r="K253" s="79"/>
      <c r="L253" s="79"/>
      <c r="M253" s="154"/>
      <c r="N253" s="3"/>
      <c r="O253" s="4"/>
      <c r="P253" s="21"/>
      <c r="Q253" s="21"/>
      <c r="R253" s="21"/>
      <c r="S253" s="21"/>
    </row>
    <row r="254" ht="19.5" customHeight="1">
      <c r="A254" s="90"/>
      <c r="B254" s="139"/>
      <c r="C254" s="90"/>
      <c r="D254" s="93"/>
      <c r="E254" s="90"/>
      <c r="F254" s="132"/>
      <c r="G254" s="4"/>
      <c r="H254" s="90"/>
      <c r="I254" s="85"/>
      <c r="J254" s="139"/>
      <c r="K254" s="79"/>
      <c r="L254" s="79"/>
      <c r="M254" s="154"/>
      <c r="N254" s="3"/>
      <c r="O254" s="4"/>
      <c r="P254" s="21"/>
      <c r="Q254" s="21"/>
      <c r="R254" s="21"/>
      <c r="S254" s="21"/>
    </row>
    <row r="255" ht="19.5" customHeight="1">
      <c r="A255" s="90"/>
      <c r="B255" s="139"/>
      <c r="C255" s="90"/>
      <c r="D255" s="93"/>
      <c r="E255" s="90"/>
      <c r="F255" s="132"/>
      <c r="G255" s="4"/>
      <c r="H255" s="90"/>
      <c r="I255" s="90"/>
      <c r="J255" s="79"/>
      <c r="K255" s="79"/>
      <c r="L255" s="79"/>
      <c r="M255" s="154"/>
      <c r="N255" s="3"/>
      <c r="O255" s="4"/>
      <c r="P255" s="21"/>
      <c r="Q255" s="21"/>
      <c r="R255" s="21"/>
      <c r="S255" s="21"/>
    </row>
    <row r="256" ht="19.5" customHeight="1">
      <c r="A256" s="90"/>
      <c r="B256" s="139"/>
      <c r="C256" s="90"/>
      <c r="D256" s="93"/>
      <c r="E256" s="90"/>
      <c r="F256" s="132"/>
      <c r="G256" s="4"/>
      <c r="H256" s="90"/>
      <c r="I256" s="85"/>
      <c r="J256" s="139"/>
      <c r="K256" s="79"/>
      <c r="L256" s="79"/>
      <c r="M256" s="154"/>
      <c r="N256" s="3"/>
      <c r="O256" s="4"/>
      <c r="P256" s="21"/>
      <c r="Q256" s="21"/>
      <c r="R256" s="21"/>
      <c r="S256" s="21"/>
    </row>
    <row r="257" ht="19.5" customHeight="1">
      <c r="A257" s="90"/>
      <c r="B257" s="139"/>
      <c r="C257" s="90"/>
      <c r="D257" s="93"/>
      <c r="E257" s="90"/>
      <c r="F257" s="132"/>
      <c r="G257" s="4"/>
      <c r="H257" s="90"/>
      <c r="I257" s="90"/>
      <c r="J257" s="79"/>
      <c r="K257" s="79"/>
      <c r="L257" s="79"/>
      <c r="M257" s="154"/>
      <c r="N257" s="3"/>
      <c r="O257" s="4"/>
      <c r="P257" s="21"/>
      <c r="Q257" s="21"/>
      <c r="R257" s="21"/>
      <c r="S257" s="21"/>
    </row>
    <row r="258" ht="19.5" customHeight="1">
      <c r="A258" s="90"/>
      <c r="B258" s="139"/>
      <c r="C258" s="90"/>
      <c r="D258" s="93"/>
      <c r="E258" s="90"/>
      <c r="F258" s="132"/>
      <c r="G258" s="4"/>
      <c r="H258" s="90"/>
      <c r="I258" s="85"/>
      <c r="J258" s="139"/>
      <c r="K258" s="79"/>
      <c r="L258" s="79"/>
      <c r="M258" s="154"/>
      <c r="N258" s="3"/>
      <c r="O258" s="4"/>
      <c r="P258" s="21"/>
      <c r="Q258" s="21"/>
      <c r="R258" s="21"/>
      <c r="S258" s="21"/>
    </row>
    <row r="259" ht="19.5" customHeight="1">
      <c r="A259" s="90"/>
      <c r="B259" s="139"/>
      <c r="C259" s="90"/>
      <c r="D259" s="93"/>
      <c r="E259" s="90"/>
      <c r="F259" s="132"/>
      <c r="G259" s="4"/>
      <c r="H259" s="90"/>
      <c r="I259" s="90"/>
      <c r="J259" s="139"/>
      <c r="K259" s="79"/>
      <c r="L259" s="79"/>
      <c r="M259" s="154"/>
      <c r="N259" s="3"/>
      <c r="O259" s="4"/>
      <c r="P259" s="21"/>
      <c r="Q259" s="21"/>
      <c r="R259" s="21"/>
      <c r="S259" s="21"/>
    </row>
    <row r="260" ht="19.5" customHeight="1">
      <c r="A260" s="90"/>
      <c r="B260" s="139"/>
      <c r="C260" s="90"/>
      <c r="D260" s="93"/>
      <c r="E260" s="90"/>
      <c r="F260" s="132"/>
      <c r="G260" s="4"/>
      <c r="H260" s="90"/>
      <c r="I260" s="85"/>
      <c r="J260" s="139"/>
      <c r="K260" s="79"/>
      <c r="L260" s="79"/>
      <c r="M260" s="154"/>
      <c r="N260" s="3"/>
      <c r="O260" s="4"/>
      <c r="P260" s="21"/>
      <c r="Q260" s="21"/>
      <c r="R260" s="21"/>
      <c r="S260" s="21"/>
    </row>
    <row r="261" ht="19.5" customHeight="1">
      <c r="A261" s="90"/>
      <c r="B261" s="139"/>
      <c r="C261" s="90"/>
      <c r="D261" s="93"/>
      <c r="E261" s="90"/>
      <c r="F261" s="132"/>
      <c r="G261" s="4"/>
      <c r="H261" s="90"/>
      <c r="I261" s="90"/>
      <c r="J261" s="139"/>
      <c r="K261" s="79"/>
      <c r="L261" s="79"/>
      <c r="M261" s="154"/>
      <c r="N261" s="3"/>
      <c r="O261" s="4"/>
      <c r="P261" s="21"/>
      <c r="Q261" s="21"/>
      <c r="R261" s="21"/>
      <c r="S261" s="21"/>
    </row>
    <row r="262" ht="19.5" customHeight="1">
      <c r="A262" s="90"/>
      <c r="B262" s="139"/>
      <c r="C262" s="90"/>
      <c r="D262" s="93"/>
      <c r="E262" s="90"/>
      <c r="F262" s="132"/>
      <c r="G262" s="4"/>
      <c r="H262" s="90"/>
      <c r="I262" s="85"/>
      <c r="J262" s="139"/>
      <c r="K262" s="79"/>
      <c r="L262" s="79"/>
      <c r="M262" s="154"/>
      <c r="N262" s="3"/>
      <c r="O262" s="4"/>
      <c r="P262" s="21"/>
      <c r="Q262" s="21"/>
      <c r="R262" s="21"/>
      <c r="S262" s="21"/>
    </row>
    <row r="263" ht="19.5" customHeight="1">
      <c r="A263" s="90"/>
      <c r="B263" s="139"/>
      <c r="C263" s="90"/>
      <c r="D263" s="93"/>
      <c r="E263" s="90"/>
      <c r="F263" s="132"/>
      <c r="G263" s="4"/>
      <c r="H263" s="90"/>
      <c r="I263" s="90"/>
      <c r="J263" s="79"/>
      <c r="K263" s="79"/>
      <c r="L263" s="79"/>
      <c r="M263" s="154"/>
      <c r="N263" s="3"/>
      <c r="O263" s="4"/>
      <c r="P263" s="21"/>
      <c r="Q263" s="21"/>
      <c r="R263" s="21"/>
      <c r="S263" s="21"/>
    </row>
    <row r="264" ht="19.5" customHeight="1">
      <c r="A264" s="90"/>
      <c r="B264" s="139"/>
      <c r="C264" s="90"/>
      <c r="D264" s="93"/>
      <c r="E264" s="90"/>
      <c r="F264" s="132"/>
      <c r="G264" s="4"/>
      <c r="H264" s="90"/>
      <c r="I264" s="85"/>
      <c r="J264" s="139"/>
      <c r="K264" s="79"/>
      <c r="L264" s="79"/>
      <c r="M264" s="154"/>
      <c r="N264" s="3"/>
      <c r="O264" s="4"/>
      <c r="P264" s="21"/>
      <c r="Q264" s="21"/>
      <c r="R264" s="21"/>
      <c r="S264" s="21"/>
    </row>
    <row r="265" ht="19.5" customHeight="1">
      <c r="A265" s="90"/>
      <c r="B265" s="139"/>
      <c r="C265" s="90"/>
      <c r="D265" s="93"/>
      <c r="E265" s="90"/>
      <c r="F265" s="132"/>
      <c r="G265" s="4"/>
      <c r="H265" s="90"/>
      <c r="I265" s="85"/>
      <c r="J265" s="139"/>
      <c r="K265" s="79"/>
      <c r="L265" s="79"/>
      <c r="M265" s="154"/>
      <c r="N265" s="3"/>
      <c r="O265" s="4"/>
      <c r="P265" s="21"/>
      <c r="Q265" s="21"/>
      <c r="R265" s="21"/>
      <c r="S265" s="21"/>
    </row>
    <row r="266" ht="19.5" customHeight="1">
      <c r="A266" s="90"/>
      <c r="B266" s="139"/>
      <c r="C266" s="90"/>
      <c r="D266" s="93"/>
      <c r="E266" s="90"/>
      <c r="F266" s="132"/>
      <c r="G266" s="4"/>
      <c r="H266" s="90"/>
      <c r="I266" s="90"/>
      <c r="J266" s="139"/>
      <c r="K266" s="79"/>
      <c r="L266" s="79"/>
      <c r="M266" s="154"/>
      <c r="N266" s="3"/>
      <c r="O266" s="4"/>
      <c r="P266" s="21"/>
      <c r="Q266" s="21"/>
      <c r="R266" s="21"/>
      <c r="S266" s="21"/>
    </row>
    <row r="267" ht="19.5" customHeight="1">
      <c r="A267" s="90"/>
      <c r="B267" s="139"/>
      <c r="C267" s="90"/>
      <c r="D267" s="93"/>
      <c r="E267" s="90"/>
      <c r="F267" s="132"/>
      <c r="G267" s="4"/>
      <c r="H267" s="90"/>
      <c r="I267" s="90"/>
      <c r="J267" s="139"/>
      <c r="K267" s="79"/>
      <c r="L267" s="79"/>
      <c r="M267" s="154"/>
      <c r="N267" s="3"/>
      <c r="O267" s="4"/>
      <c r="P267" s="21"/>
      <c r="Q267" s="21"/>
      <c r="R267" s="21"/>
      <c r="S267" s="21"/>
    </row>
    <row r="268" ht="19.5" customHeight="1">
      <c r="A268" s="90"/>
      <c r="B268" s="139"/>
      <c r="C268" s="90"/>
      <c r="D268" s="93"/>
      <c r="E268" s="90"/>
      <c r="F268" s="132"/>
      <c r="G268" s="4"/>
      <c r="H268" s="90"/>
      <c r="I268" s="85"/>
      <c r="J268" s="139"/>
      <c r="K268" s="79"/>
      <c r="L268" s="79"/>
      <c r="M268" s="154"/>
      <c r="N268" s="3"/>
      <c r="O268" s="4"/>
      <c r="P268" s="21"/>
      <c r="Q268" s="21"/>
      <c r="R268" s="21"/>
      <c r="S268" s="21"/>
    </row>
    <row r="269" ht="19.5" customHeight="1">
      <c r="A269" s="90"/>
      <c r="B269" s="139"/>
      <c r="C269" s="90"/>
      <c r="D269" s="93"/>
      <c r="E269" s="90"/>
      <c r="F269" s="132"/>
      <c r="G269" s="4"/>
      <c r="H269" s="90"/>
      <c r="I269" s="85"/>
      <c r="J269" s="139"/>
      <c r="K269" s="79"/>
      <c r="L269" s="79"/>
      <c r="M269" s="154"/>
      <c r="N269" s="3"/>
      <c r="O269" s="4"/>
      <c r="P269" s="21"/>
      <c r="Q269" s="21"/>
      <c r="R269" s="21"/>
      <c r="S269" s="21"/>
    </row>
    <row r="270" ht="19.5" customHeight="1">
      <c r="A270" s="90"/>
      <c r="B270" s="139"/>
      <c r="C270" s="90"/>
      <c r="D270" s="93"/>
      <c r="E270" s="90"/>
      <c r="F270" s="132"/>
      <c r="G270" s="4"/>
      <c r="H270" s="90"/>
      <c r="I270" s="85"/>
      <c r="J270" s="139"/>
      <c r="K270" s="79"/>
      <c r="L270" s="79"/>
      <c r="M270" s="154"/>
      <c r="N270" s="3"/>
      <c r="O270" s="4"/>
      <c r="P270" s="21"/>
      <c r="Q270" s="21"/>
      <c r="R270" s="21"/>
      <c r="S270" s="21"/>
    </row>
    <row r="271" ht="19.5" customHeight="1">
      <c r="A271" s="90"/>
      <c r="B271" s="139"/>
      <c r="C271" s="90"/>
      <c r="D271" s="93"/>
      <c r="E271" s="90"/>
      <c r="F271" s="132"/>
      <c r="G271" s="4"/>
      <c r="H271" s="90"/>
      <c r="I271" s="85"/>
      <c r="J271" s="139"/>
      <c r="K271" s="79"/>
      <c r="L271" s="79"/>
      <c r="M271" s="154"/>
      <c r="N271" s="3"/>
      <c r="O271" s="4"/>
      <c r="P271" s="21"/>
      <c r="Q271" s="21"/>
      <c r="R271" s="21"/>
      <c r="S271" s="21"/>
    </row>
    <row r="272" ht="19.5" customHeight="1">
      <c r="A272" s="90"/>
      <c r="B272" s="139"/>
      <c r="C272" s="90"/>
      <c r="D272" s="93"/>
      <c r="E272" s="90"/>
      <c r="F272" s="132"/>
      <c r="G272" s="4"/>
      <c r="H272" s="90"/>
      <c r="I272" s="85"/>
      <c r="J272" s="139"/>
      <c r="K272" s="79"/>
      <c r="L272" s="79"/>
      <c r="M272" s="154"/>
      <c r="N272" s="3"/>
      <c r="O272" s="4"/>
      <c r="P272" s="21"/>
      <c r="Q272" s="21"/>
      <c r="R272" s="21"/>
      <c r="S272" s="21"/>
    </row>
    <row r="273" ht="19.5" customHeight="1">
      <c r="A273" s="90"/>
      <c r="B273" s="139"/>
      <c r="C273" s="90"/>
      <c r="D273" s="93"/>
      <c r="E273" s="90"/>
      <c r="F273" s="132"/>
      <c r="G273" s="4"/>
      <c r="H273" s="90"/>
      <c r="I273" s="85"/>
      <c r="J273" s="139"/>
      <c r="K273" s="79"/>
      <c r="L273" s="79"/>
      <c r="M273" s="154"/>
      <c r="N273" s="3"/>
      <c r="O273" s="4"/>
      <c r="P273" s="21"/>
      <c r="Q273" s="21"/>
      <c r="R273" s="21"/>
      <c r="S273" s="21"/>
    </row>
    <row r="274" ht="19.5" customHeight="1">
      <c r="A274" s="90"/>
      <c r="B274" s="139"/>
      <c r="C274" s="90"/>
      <c r="D274" s="93"/>
      <c r="E274" s="90"/>
      <c r="F274" s="132"/>
      <c r="G274" s="4"/>
      <c r="H274" s="90"/>
      <c r="I274" s="85"/>
      <c r="J274" s="79"/>
      <c r="K274" s="79"/>
      <c r="L274" s="79"/>
      <c r="M274" s="154"/>
      <c r="N274" s="3"/>
      <c r="O274" s="4"/>
      <c r="P274" s="21"/>
      <c r="Q274" s="21"/>
      <c r="R274" s="21"/>
      <c r="S274" s="21"/>
    </row>
    <row r="275" ht="19.5" customHeight="1">
      <c r="A275" s="90"/>
      <c r="B275" s="139"/>
      <c r="C275" s="90"/>
      <c r="D275" s="93"/>
      <c r="E275" s="90"/>
      <c r="F275" s="132"/>
      <c r="G275" s="4"/>
      <c r="H275" s="90"/>
      <c r="I275" s="85"/>
      <c r="J275" s="139"/>
      <c r="K275" s="79"/>
      <c r="L275" s="79"/>
      <c r="M275" s="154"/>
      <c r="N275" s="3"/>
      <c r="O275" s="4"/>
      <c r="P275" s="21"/>
      <c r="Q275" s="21"/>
      <c r="R275" s="21"/>
      <c r="S275" s="21"/>
    </row>
    <row r="276" ht="19.5" customHeight="1">
      <c r="A276" s="90"/>
      <c r="B276" s="139"/>
      <c r="C276" s="90"/>
      <c r="D276" s="93"/>
      <c r="E276" s="90"/>
      <c r="F276" s="132"/>
      <c r="G276" s="4"/>
      <c r="H276" s="90"/>
      <c r="I276" s="85"/>
      <c r="J276" s="139"/>
      <c r="K276" s="79"/>
      <c r="L276" s="79"/>
      <c r="M276" s="154"/>
      <c r="N276" s="3"/>
      <c r="O276" s="4"/>
      <c r="P276" s="21"/>
      <c r="Q276" s="21"/>
      <c r="R276" s="21"/>
      <c r="S276" s="21"/>
    </row>
    <row r="277" ht="19.5" customHeight="1">
      <c r="A277" s="90"/>
      <c r="B277" s="139"/>
      <c r="C277" s="90"/>
      <c r="D277" s="93"/>
      <c r="E277" s="90"/>
      <c r="F277" s="132"/>
      <c r="G277" s="4"/>
      <c r="H277" s="90"/>
      <c r="I277" s="85"/>
      <c r="J277" s="139"/>
      <c r="K277" s="79"/>
      <c r="L277" s="79"/>
      <c r="M277" s="154"/>
      <c r="N277" s="3"/>
      <c r="O277" s="4"/>
      <c r="P277" s="21"/>
      <c r="Q277" s="21"/>
      <c r="R277" s="21"/>
      <c r="S277" s="21"/>
    </row>
    <row r="278" ht="19.5" customHeight="1">
      <c r="A278" s="90"/>
      <c r="B278" s="139"/>
      <c r="C278" s="90"/>
      <c r="D278" s="93"/>
      <c r="E278" s="90"/>
      <c r="F278" s="132"/>
      <c r="G278" s="4"/>
      <c r="H278" s="90"/>
      <c r="I278" s="85"/>
      <c r="J278" s="79"/>
      <c r="K278" s="79"/>
      <c r="L278" s="79"/>
      <c r="M278" s="154"/>
      <c r="N278" s="3"/>
      <c r="O278" s="4"/>
      <c r="P278" s="21"/>
      <c r="Q278" s="21"/>
      <c r="R278" s="21"/>
      <c r="S278" s="21"/>
    </row>
    <row r="279" ht="19.5" customHeight="1">
      <c r="A279" s="90"/>
      <c r="B279" s="139"/>
      <c r="C279" s="90"/>
      <c r="D279" s="93"/>
      <c r="E279" s="90"/>
      <c r="F279" s="132"/>
      <c r="G279" s="4"/>
      <c r="H279" s="90"/>
      <c r="I279" s="85"/>
      <c r="J279" s="139"/>
      <c r="K279" s="79"/>
      <c r="L279" s="79"/>
      <c r="M279" s="154"/>
      <c r="N279" s="3"/>
      <c r="O279" s="4"/>
      <c r="P279" s="21"/>
      <c r="Q279" s="21"/>
      <c r="R279" s="21"/>
      <c r="S279" s="21"/>
    </row>
    <row r="280" ht="19.5" customHeight="1">
      <c r="A280" s="90"/>
      <c r="B280" s="139"/>
      <c r="C280" s="90"/>
      <c r="D280" s="93"/>
      <c r="E280" s="90"/>
      <c r="F280" s="132"/>
      <c r="G280" s="4"/>
      <c r="H280" s="90"/>
      <c r="I280" s="90"/>
      <c r="J280" s="79"/>
      <c r="K280" s="79"/>
      <c r="L280" s="79"/>
      <c r="M280" s="154"/>
      <c r="N280" s="3"/>
      <c r="O280" s="4"/>
      <c r="P280" s="21"/>
      <c r="Q280" s="21"/>
      <c r="R280" s="21"/>
      <c r="S280" s="21"/>
    </row>
    <row r="281" ht="19.5" customHeight="1">
      <c r="A281" s="90"/>
      <c r="B281" s="252"/>
      <c r="C281" s="90"/>
      <c r="D281" s="93"/>
      <c r="E281" s="90"/>
      <c r="F281" s="132"/>
      <c r="G281" s="4"/>
      <c r="H281" s="90"/>
      <c r="I281" s="85"/>
      <c r="J281" s="139"/>
      <c r="K281" s="79"/>
      <c r="L281" s="79"/>
      <c r="M281" s="154"/>
      <c r="N281" s="3"/>
      <c r="O281" s="4"/>
      <c r="P281" s="21"/>
      <c r="Q281" s="21"/>
      <c r="R281" s="21"/>
      <c r="S281" s="21"/>
    </row>
    <row r="282" ht="19.5" customHeight="1">
      <c r="A282" s="90"/>
      <c r="B282" s="139"/>
      <c r="C282" s="90"/>
      <c r="D282" s="93"/>
      <c r="E282" s="90"/>
      <c r="F282" s="132"/>
      <c r="G282" s="4"/>
      <c r="H282" s="90"/>
      <c r="I282" s="85"/>
      <c r="J282" s="139"/>
      <c r="K282" s="79"/>
      <c r="L282" s="79"/>
      <c r="M282" s="154"/>
      <c r="N282" s="3"/>
      <c r="O282" s="4"/>
      <c r="P282" s="21"/>
      <c r="Q282" s="21"/>
      <c r="R282" s="21"/>
      <c r="S282" s="21"/>
    </row>
    <row r="283" ht="19.5" customHeight="1">
      <c r="A283" s="90"/>
      <c r="B283" s="139"/>
      <c r="C283" s="90"/>
      <c r="D283" s="93"/>
      <c r="E283" s="90"/>
      <c r="F283" s="132"/>
      <c r="G283" s="4"/>
      <c r="H283" s="90"/>
      <c r="I283" s="90"/>
      <c r="J283" s="79"/>
      <c r="K283" s="79"/>
      <c r="L283" s="79"/>
      <c r="M283" s="154"/>
      <c r="N283" s="3"/>
      <c r="O283" s="4"/>
      <c r="P283" s="21"/>
      <c r="Q283" s="21"/>
      <c r="R283" s="21"/>
      <c r="S283" s="21"/>
    </row>
    <row r="284" ht="19.5" customHeight="1">
      <c r="A284" s="90"/>
      <c r="B284" s="139"/>
      <c r="C284" s="90"/>
      <c r="D284" s="93"/>
      <c r="E284" s="90"/>
      <c r="F284" s="132"/>
      <c r="G284" s="4"/>
      <c r="H284" s="90"/>
      <c r="I284" s="85"/>
      <c r="J284" s="139"/>
      <c r="K284" s="79"/>
      <c r="L284" s="79"/>
      <c r="M284" s="154"/>
      <c r="N284" s="3"/>
      <c r="O284" s="4"/>
      <c r="P284" s="21"/>
      <c r="Q284" s="21"/>
      <c r="R284" s="21"/>
      <c r="S284" s="21"/>
    </row>
    <row r="285" ht="19.5" customHeight="1">
      <c r="A285" s="90"/>
      <c r="B285" s="139"/>
      <c r="C285" s="90"/>
      <c r="D285" s="93"/>
      <c r="E285" s="90"/>
      <c r="F285" s="132"/>
      <c r="G285" s="4"/>
      <c r="H285" s="90"/>
      <c r="I285" s="85"/>
      <c r="J285" s="139"/>
      <c r="K285" s="79"/>
      <c r="L285" s="79"/>
      <c r="M285" s="154"/>
      <c r="N285" s="3"/>
      <c r="O285" s="4"/>
      <c r="P285" s="21"/>
      <c r="Q285" s="21"/>
      <c r="R285" s="21"/>
      <c r="S285" s="21"/>
    </row>
    <row r="286" ht="19.5" customHeight="1">
      <c r="A286" s="90"/>
      <c r="B286" s="139"/>
      <c r="C286" s="90"/>
      <c r="D286" s="93"/>
      <c r="E286" s="90"/>
      <c r="F286" s="132"/>
      <c r="G286" s="4"/>
      <c r="H286" s="90"/>
      <c r="I286" s="90"/>
      <c r="J286" s="79"/>
      <c r="K286" s="79"/>
      <c r="L286" s="79"/>
      <c r="M286" s="154"/>
      <c r="N286" s="3"/>
      <c r="O286" s="4"/>
      <c r="P286" s="21"/>
      <c r="Q286" s="21"/>
      <c r="R286" s="21"/>
      <c r="S286" s="21"/>
    </row>
    <row r="287" ht="19.5" customHeight="1">
      <c r="A287" s="90"/>
      <c r="B287" s="139"/>
      <c r="C287" s="90"/>
      <c r="D287" s="93"/>
      <c r="E287" s="90"/>
      <c r="F287" s="132"/>
      <c r="G287" s="4"/>
      <c r="H287" s="90"/>
      <c r="I287" s="85"/>
      <c r="J287" s="139"/>
      <c r="K287" s="79"/>
      <c r="L287" s="79"/>
      <c r="M287" s="154"/>
      <c r="N287" s="3"/>
      <c r="O287" s="4"/>
      <c r="P287" s="21"/>
      <c r="Q287" s="21"/>
      <c r="R287" s="21"/>
      <c r="S287" s="21"/>
    </row>
    <row r="288" ht="19.5" customHeight="1">
      <c r="A288" s="90"/>
      <c r="B288" s="139"/>
      <c r="C288" s="90"/>
      <c r="D288" s="93"/>
      <c r="E288" s="90"/>
      <c r="F288" s="132"/>
      <c r="G288" s="4"/>
      <c r="H288" s="90"/>
      <c r="I288" s="90"/>
      <c r="J288" s="139"/>
      <c r="K288" s="79"/>
      <c r="L288" s="79"/>
      <c r="M288" s="154"/>
      <c r="N288" s="3"/>
      <c r="O288" s="4"/>
      <c r="P288" s="21"/>
      <c r="Q288" s="21"/>
      <c r="R288" s="21"/>
      <c r="S288" s="21"/>
    </row>
    <row r="289" ht="19.5" customHeight="1">
      <c r="A289" s="90"/>
      <c r="B289" s="139"/>
      <c r="C289" s="90"/>
      <c r="D289" s="93"/>
      <c r="E289" s="90"/>
      <c r="F289" s="132"/>
      <c r="G289" s="4"/>
      <c r="H289" s="90"/>
      <c r="I289" s="90"/>
      <c r="J289" s="139"/>
      <c r="K289" s="79"/>
      <c r="L289" s="79"/>
      <c r="M289" s="154"/>
      <c r="N289" s="3"/>
      <c r="O289" s="4"/>
      <c r="P289" s="21"/>
      <c r="Q289" s="21"/>
      <c r="R289" s="21"/>
      <c r="S289" s="21"/>
    </row>
    <row r="290" ht="19.5" customHeight="1">
      <c r="A290" s="90"/>
      <c r="B290" s="139"/>
      <c r="C290" s="90"/>
      <c r="D290" s="93"/>
      <c r="E290" s="90"/>
      <c r="F290" s="132"/>
      <c r="G290" s="4"/>
      <c r="H290" s="90"/>
      <c r="I290" s="90"/>
      <c r="J290" s="139"/>
      <c r="K290" s="79"/>
      <c r="L290" s="79"/>
      <c r="M290" s="154"/>
      <c r="N290" s="3"/>
      <c r="O290" s="4"/>
      <c r="P290" s="21"/>
      <c r="Q290" s="21"/>
      <c r="R290" s="21"/>
      <c r="S290" s="21"/>
    </row>
    <row r="291" ht="19.5" customHeight="1">
      <c r="A291" s="90"/>
      <c r="B291" s="139"/>
      <c r="C291" s="90"/>
      <c r="D291" s="93"/>
      <c r="E291" s="90"/>
      <c r="F291" s="132"/>
      <c r="G291" s="4"/>
      <c r="H291" s="90"/>
      <c r="I291" s="85"/>
      <c r="J291" s="139"/>
      <c r="K291" s="79"/>
      <c r="L291" s="79"/>
      <c r="M291" s="154"/>
      <c r="N291" s="3"/>
      <c r="O291" s="4"/>
      <c r="P291" s="21"/>
      <c r="Q291" s="21"/>
      <c r="R291" s="21"/>
      <c r="S291" s="21"/>
    </row>
    <row r="292" ht="19.5" customHeight="1">
      <c r="A292" s="90"/>
      <c r="B292" s="139"/>
      <c r="C292" s="90"/>
      <c r="D292" s="93"/>
      <c r="E292" s="90"/>
      <c r="F292" s="132"/>
      <c r="G292" s="4"/>
      <c r="H292" s="90"/>
      <c r="I292" s="90"/>
      <c r="J292" s="79"/>
      <c r="K292" s="79"/>
      <c r="L292" s="79"/>
      <c r="M292" s="154"/>
      <c r="N292" s="3"/>
      <c r="O292" s="4"/>
      <c r="P292" s="21"/>
      <c r="Q292" s="21"/>
      <c r="R292" s="21"/>
      <c r="S292" s="21"/>
    </row>
    <row r="293" ht="19.5" customHeight="1">
      <c r="A293" s="90"/>
      <c r="B293" s="139"/>
      <c r="C293" s="90"/>
      <c r="D293" s="93"/>
      <c r="E293" s="90"/>
      <c r="F293" s="132"/>
      <c r="G293" s="4"/>
      <c r="H293" s="90"/>
      <c r="I293" s="85"/>
      <c r="J293" s="139"/>
      <c r="K293" s="79"/>
      <c r="L293" s="79"/>
      <c r="M293" s="154"/>
      <c r="N293" s="3"/>
      <c r="O293" s="4"/>
      <c r="P293" s="21"/>
      <c r="Q293" s="21"/>
      <c r="R293" s="21"/>
      <c r="S293" s="21"/>
    </row>
    <row r="294" ht="19.5" customHeight="1">
      <c r="A294" s="90"/>
      <c r="B294" s="139"/>
      <c r="C294" s="90"/>
      <c r="D294" s="93"/>
      <c r="E294" s="90"/>
      <c r="F294" s="132"/>
      <c r="G294" s="4"/>
      <c r="H294" s="90"/>
      <c r="I294" s="90"/>
      <c r="J294" s="79"/>
      <c r="K294" s="79"/>
      <c r="L294" s="79"/>
      <c r="M294" s="154"/>
      <c r="N294" s="3"/>
      <c r="O294" s="4"/>
      <c r="P294" s="21"/>
      <c r="Q294" s="21"/>
      <c r="R294" s="21"/>
      <c r="S294" s="21"/>
    </row>
    <row r="295" ht="19.5" customHeight="1">
      <c r="A295" s="90"/>
      <c r="B295" s="139"/>
      <c r="C295" s="90"/>
      <c r="D295" s="93"/>
      <c r="E295" s="90"/>
      <c r="F295" s="132"/>
      <c r="G295" s="4"/>
      <c r="H295" s="90"/>
      <c r="I295" s="85"/>
      <c r="J295" s="139"/>
      <c r="K295" s="79"/>
      <c r="L295" s="79"/>
      <c r="M295" s="154"/>
      <c r="N295" s="3"/>
      <c r="O295" s="4"/>
      <c r="P295" s="21"/>
      <c r="Q295" s="21"/>
      <c r="R295" s="21"/>
      <c r="S295" s="21"/>
    </row>
    <row r="296" ht="19.5" customHeight="1">
      <c r="A296" s="90"/>
      <c r="B296" s="139"/>
      <c r="C296" s="90"/>
      <c r="D296" s="93"/>
      <c r="E296" s="90"/>
      <c r="F296" s="132"/>
      <c r="G296" s="4"/>
      <c r="H296" s="90"/>
      <c r="I296" s="90"/>
      <c r="J296" s="79"/>
      <c r="K296" s="79"/>
      <c r="L296" s="79"/>
      <c r="M296" s="154"/>
      <c r="N296" s="3"/>
      <c r="O296" s="4"/>
      <c r="P296" s="21"/>
      <c r="Q296" s="21"/>
      <c r="R296" s="21"/>
      <c r="S296" s="21"/>
    </row>
    <row r="297" ht="19.5" customHeight="1">
      <c r="A297" s="90"/>
      <c r="B297" s="139"/>
      <c r="C297" s="90"/>
      <c r="D297" s="93"/>
      <c r="E297" s="90"/>
      <c r="F297" s="132"/>
      <c r="G297" s="4"/>
      <c r="H297" s="90"/>
      <c r="I297" s="85"/>
      <c r="J297" s="139"/>
      <c r="K297" s="79"/>
      <c r="L297" s="79"/>
      <c r="M297" s="154"/>
      <c r="N297" s="3"/>
      <c r="O297" s="4"/>
      <c r="P297" s="21"/>
      <c r="Q297" s="21"/>
      <c r="R297" s="21"/>
      <c r="S297" s="21"/>
    </row>
    <row r="298" ht="19.5" customHeight="1">
      <c r="A298" s="90"/>
      <c r="B298" s="139"/>
      <c r="C298" s="90"/>
      <c r="D298" s="93"/>
      <c r="E298" s="90"/>
      <c r="F298" s="132"/>
      <c r="G298" s="4"/>
      <c r="H298" s="90"/>
      <c r="I298" s="85"/>
      <c r="J298" s="139"/>
      <c r="K298" s="79"/>
      <c r="L298" s="79"/>
      <c r="M298" s="154"/>
      <c r="N298" s="3"/>
      <c r="O298" s="4"/>
      <c r="P298" s="21"/>
      <c r="Q298" s="21"/>
      <c r="R298" s="21"/>
      <c r="S298" s="21"/>
    </row>
    <row r="299" ht="19.5" customHeight="1">
      <c r="A299" s="90"/>
      <c r="B299" s="139"/>
      <c r="C299" s="90"/>
      <c r="D299" s="93"/>
      <c r="E299" s="90"/>
      <c r="F299" s="132"/>
      <c r="G299" s="4"/>
      <c r="H299" s="90"/>
      <c r="I299" s="85"/>
      <c r="J299" s="139"/>
      <c r="K299" s="79"/>
      <c r="L299" s="79"/>
      <c r="M299" s="154"/>
      <c r="N299" s="3"/>
      <c r="O299" s="4"/>
      <c r="P299" s="21"/>
      <c r="Q299" s="21"/>
      <c r="R299" s="21"/>
      <c r="S299" s="21"/>
    </row>
    <row r="300" ht="19.5" customHeight="1">
      <c r="A300" s="90"/>
      <c r="B300" s="139"/>
      <c r="C300" s="90"/>
      <c r="D300" s="93"/>
      <c r="E300" s="90"/>
      <c r="F300" s="132"/>
      <c r="G300" s="4"/>
      <c r="H300" s="90"/>
      <c r="I300" s="85"/>
      <c r="J300" s="79"/>
      <c r="K300" s="79"/>
      <c r="L300" s="79"/>
      <c r="M300" s="154"/>
      <c r="N300" s="3"/>
      <c r="O300" s="4"/>
      <c r="P300" s="21"/>
      <c r="Q300" s="21"/>
      <c r="R300" s="21"/>
      <c r="S300" s="21"/>
    </row>
    <row r="301" ht="19.5" customHeight="1">
      <c r="A301" s="90"/>
      <c r="B301" s="139"/>
      <c r="C301" s="90"/>
      <c r="D301" s="93"/>
      <c r="E301" s="90"/>
      <c r="F301" s="132"/>
      <c r="G301" s="4"/>
      <c r="H301" s="90"/>
      <c r="I301" s="85"/>
      <c r="J301" s="139"/>
      <c r="K301" s="79"/>
      <c r="L301" s="79"/>
      <c r="M301" s="154"/>
      <c r="N301" s="3"/>
      <c r="O301" s="4"/>
      <c r="P301" s="21"/>
      <c r="Q301" s="21"/>
      <c r="R301" s="21"/>
      <c r="S301" s="21"/>
    </row>
    <row r="302" ht="13.5" customHeight="1">
      <c r="A302" s="21"/>
      <c r="B302" s="21"/>
      <c r="C302" s="21"/>
      <c r="D302" s="21"/>
      <c r="E302" s="253"/>
      <c r="F302" s="253"/>
      <c r="G302" s="253"/>
      <c r="H302" s="253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ht="13.5" customHeight="1">
      <c r="A303" s="21"/>
      <c r="B303" s="21"/>
      <c r="C303" s="21"/>
      <c r="D303" s="21"/>
      <c r="E303" s="253"/>
      <c r="F303" s="253"/>
      <c r="G303" s="253"/>
      <c r="H303" s="253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ht="13.5" customHeight="1">
      <c r="A304" s="21"/>
      <c r="B304" s="21"/>
      <c r="C304" s="21"/>
      <c r="D304" s="21"/>
      <c r="E304" s="253"/>
      <c r="F304" s="253"/>
      <c r="G304" s="253"/>
      <c r="H304" s="253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ht="13.5" customHeight="1">
      <c r="A305" s="21"/>
      <c r="B305" s="21"/>
      <c r="C305" s="21"/>
      <c r="D305" s="21"/>
      <c r="E305" s="253"/>
      <c r="F305" s="253"/>
      <c r="G305" s="253"/>
      <c r="H305" s="253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ht="13.5" customHeight="1">
      <c r="A306" s="21"/>
      <c r="B306" s="21"/>
      <c r="C306" s="21"/>
      <c r="D306" s="21"/>
      <c r="E306" s="253"/>
      <c r="F306" s="253"/>
      <c r="G306" s="253"/>
      <c r="H306" s="253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ht="13.5" customHeight="1">
      <c r="A307" s="21"/>
      <c r="B307" s="21"/>
      <c r="C307" s="21"/>
      <c r="D307" s="21"/>
      <c r="E307" s="253"/>
      <c r="F307" s="253"/>
      <c r="G307" s="253"/>
      <c r="H307" s="253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ht="13.5" customHeight="1">
      <c r="A308" s="21"/>
      <c r="B308" s="21"/>
      <c r="C308" s="21"/>
      <c r="D308" s="21"/>
      <c r="E308" s="253"/>
      <c r="F308" s="253"/>
      <c r="G308" s="253"/>
      <c r="H308" s="253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ht="13.5" customHeight="1">
      <c r="A309" s="21"/>
      <c r="B309" s="21"/>
      <c r="C309" s="21"/>
      <c r="D309" s="21"/>
      <c r="E309" s="253"/>
      <c r="F309" s="253"/>
      <c r="G309" s="253"/>
      <c r="H309" s="253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ht="13.5" customHeight="1">
      <c r="A310" s="21"/>
      <c r="B310" s="21"/>
      <c r="C310" s="21"/>
      <c r="D310" s="21"/>
      <c r="E310" s="253"/>
      <c r="F310" s="253"/>
      <c r="G310" s="253"/>
      <c r="H310" s="253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ht="13.5" customHeight="1">
      <c r="A311" s="21"/>
      <c r="B311" s="21"/>
      <c r="C311" s="21"/>
      <c r="D311" s="21"/>
      <c r="E311" s="253"/>
      <c r="F311" s="253"/>
      <c r="G311" s="253"/>
      <c r="H311" s="253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ht="13.5" customHeight="1">
      <c r="A312" s="21"/>
      <c r="B312" s="21"/>
      <c r="C312" s="21"/>
      <c r="D312" s="21"/>
      <c r="E312" s="253"/>
      <c r="F312" s="253"/>
      <c r="G312" s="253"/>
      <c r="H312" s="253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ht="13.5" customHeight="1">
      <c r="A313" s="21"/>
      <c r="B313" s="21"/>
      <c r="C313" s="21"/>
      <c r="D313" s="21"/>
      <c r="E313" s="253"/>
      <c r="F313" s="253"/>
      <c r="G313" s="253"/>
      <c r="H313" s="253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ht="13.5" customHeight="1">
      <c r="A314" s="21"/>
      <c r="B314" s="21"/>
      <c r="C314" s="21"/>
      <c r="D314" s="21"/>
      <c r="E314" s="253"/>
      <c r="F314" s="253"/>
      <c r="G314" s="253"/>
      <c r="H314" s="253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ht="13.5" customHeight="1">
      <c r="A315" s="21"/>
      <c r="B315" s="21"/>
      <c r="C315" s="21"/>
      <c r="D315" s="21"/>
      <c r="E315" s="253"/>
      <c r="F315" s="253"/>
      <c r="G315" s="253"/>
      <c r="H315" s="253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ht="13.5" customHeight="1">
      <c r="A316" s="21"/>
      <c r="B316" s="21"/>
      <c r="C316" s="21"/>
      <c r="D316" s="21"/>
      <c r="E316" s="253"/>
      <c r="F316" s="253"/>
      <c r="G316" s="253"/>
      <c r="H316" s="253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ht="13.5" customHeight="1">
      <c r="A317" s="21"/>
      <c r="B317" s="21"/>
      <c r="C317" s="21"/>
      <c r="D317" s="21"/>
      <c r="E317" s="253"/>
      <c r="F317" s="253"/>
      <c r="G317" s="253"/>
      <c r="H317" s="253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ht="13.5" customHeight="1">
      <c r="A318" s="21"/>
      <c r="B318" s="21"/>
      <c r="C318" s="21"/>
      <c r="D318" s="21"/>
      <c r="E318" s="253"/>
      <c r="F318" s="253"/>
      <c r="G318" s="253"/>
      <c r="H318" s="253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ht="13.5" customHeight="1">
      <c r="A319" s="21"/>
      <c r="B319" s="21"/>
      <c r="C319" s="21"/>
      <c r="D319" s="21"/>
      <c r="E319" s="253"/>
      <c r="F319" s="253"/>
      <c r="G319" s="253"/>
      <c r="H319" s="253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ht="13.5" customHeight="1">
      <c r="A320" s="21"/>
      <c r="B320" s="21"/>
      <c r="C320" s="21"/>
      <c r="D320" s="21"/>
      <c r="E320" s="253"/>
      <c r="F320" s="253"/>
      <c r="G320" s="253"/>
      <c r="H320" s="253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ht="13.5" customHeight="1">
      <c r="A321" s="21"/>
      <c r="B321" s="21"/>
      <c r="C321" s="21"/>
      <c r="D321" s="21"/>
      <c r="E321" s="253"/>
      <c r="F321" s="253"/>
      <c r="G321" s="253"/>
      <c r="H321" s="253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ht="13.5" customHeight="1">
      <c r="A322" s="21"/>
      <c r="B322" s="21"/>
      <c r="C322" s="21"/>
      <c r="D322" s="21"/>
      <c r="E322" s="253"/>
      <c r="F322" s="253"/>
      <c r="G322" s="253"/>
      <c r="H322" s="253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ht="13.5" customHeight="1">
      <c r="A323" s="21"/>
      <c r="B323" s="21"/>
      <c r="C323" s="21"/>
      <c r="D323" s="21"/>
      <c r="E323" s="253"/>
      <c r="F323" s="253"/>
      <c r="G323" s="253"/>
      <c r="H323" s="253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ht="13.5" customHeight="1">
      <c r="A324" s="21"/>
      <c r="B324" s="21"/>
      <c r="C324" s="21"/>
      <c r="D324" s="21"/>
      <c r="E324" s="253"/>
      <c r="F324" s="253"/>
      <c r="G324" s="253"/>
      <c r="H324" s="253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ht="13.5" customHeight="1">
      <c r="A325" s="21"/>
      <c r="B325" s="21"/>
      <c r="C325" s="21"/>
      <c r="D325" s="21"/>
      <c r="E325" s="253"/>
      <c r="F325" s="253"/>
      <c r="G325" s="253"/>
      <c r="H325" s="253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ht="13.5" customHeight="1">
      <c r="A326" s="21"/>
      <c r="B326" s="21"/>
      <c r="C326" s="21"/>
      <c r="D326" s="21"/>
      <c r="E326" s="253"/>
      <c r="F326" s="253"/>
      <c r="G326" s="253"/>
      <c r="H326" s="253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ht="13.5" customHeight="1">
      <c r="A327" s="21"/>
      <c r="B327" s="21"/>
      <c r="C327" s="21"/>
      <c r="D327" s="21"/>
      <c r="E327" s="253"/>
      <c r="F327" s="253"/>
      <c r="G327" s="253"/>
      <c r="H327" s="253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ht="13.5" customHeight="1">
      <c r="A328" s="21"/>
      <c r="B328" s="21"/>
      <c r="C328" s="21"/>
      <c r="D328" s="21"/>
      <c r="E328" s="253"/>
      <c r="F328" s="253"/>
      <c r="G328" s="253"/>
      <c r="H328" s="253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ht="13.5" customHeight="1">
      <c r="A329" s="21"/>
      <c r="B329" s="21"/>
      <c r="C329" s="21"/>
      <c r="D329" s="21"/>
      <c r="E329" s="253"/>
      <c r="F329" s="253"/>
      <c r="G329" s="253"/>
      <c r="H329" s="253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ht="13.5" customHeight="1">
      <c r="A330" s="21"/>
      <c r="B330" s="21"/>
      <c r="C330" s="21"/>
      <c r="D330" s="21"/>
      <c r="E330" s="253"/>
      <c r="F330" s="253"/>
      <c r="G330" s="253"/>
      <c r="H330" s="253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ht="13.5" customHeight="1">
      <c r="A331" s="21"/>
      <c r="B331" s="21"/>
      <c r="C331" s="21"/>
      <c r="D331" s="21"/>
      <c r="E331" s="253"/>
      <c r="F331" s="253"/>
      <c r="G331" s="253"/>
      <c r="H331" s="253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ht="13.5" customHeight="1">
      <c r="A332" s="21"/>
      <c r="B332" s="21"/>
      <c r="C332" s="21"/>
      <c r="D332" s="21"/>
      <c r="E332" s="253"/>
      <c r="F332" s="253"/>
      <c r="G332" s="253"/>
      <c r="H332" s="253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ht="13.5" customHeight="1">
      <c r="A333" s="21"/>
      <c r="B333" s="21"/>
      <c r="C333" s="21"/>
      <c r="D333" s="21"/>
      <c r="E333" s="253"/>
      <c r="F333" s="253"/>
      <c r="G333" s="253"/>
      <c r="H333" s="253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ht="13.5" customHeight="1">
      <c r="A334" s="21"/>
      <c r="B334" s="21"/>
      <c r="C334" s="21"/>
      <c r="D334" s="21"/>
      <c r="E334" s="253"/>
      <c r="F334" s="253"/>
      <c r="G334" s="253"/>
      <c r="H334" s="253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ht="13.5" customHeight="1">
      <c r="A335" s="21"/>
      <c r="B335" s="21"/>
      <c r="C335" s="21"/>
      <c r="D335" s="21"/>
      <c r="E335" s="253"/>
      <c r="F335" s="253"/>
      <c r="G335" s="253"/>
      <c r="H335" s="253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ht="13.5" customHeight="1">
      <c r="A336" s="21"/>
      <c r="B336" s="21"/>
      <c r="C336" s="21"/>
      <c r="D336" s="21"/>
      <c r="E336" s="253"/>
      <c r="F336" s="253"/>
      <c r="G336" s="253"/>
      <c r="H336" s="253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ht="13.5" customHeight="1">
      <c r="A337" s="21"/>
      <c r="B337" s="21"/>
      <c r="C337" s="21"/>
      <c r="D337" s="21"/>
      <c r="E337" s="253"/>
      <c r="F337" s="253"/>
      <c r="G337" s="253"/>
      <c r="H337" s="253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ht="13.5" customHeight="1">
      <c r="A338" s="21"/>
      <c r="B338" s="21"/>
      <c r="C338" s="21"/>
      <c r="D338" s="21"/>
      <c r="E338" s="253"/>
      <c r="F338" s="253"/>
      <c r="G338" s="253"/>
      <c r="H338" s="253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ht="13.5" customHeight="1">
      <c r="A339" s="21"/>
      <c r="B339" s="21"/>
      <c r="C339" s="21"/>
      <c r="D339" s="21"/>
      <c r="E339" s="253"/>
      <c r="F339" s="253"/>
      <c r="G339" s="253"/>
      <c r="H339" s="253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ht="13.5" customHeight="1">
      <c r="A340" s="21"/>
      <c r="B340" s="21"/>
      <c r="C340" s="21"/>
      <c r="D340" s="21"/>
      <c r="E340" s="253"/>
      <c r="F340" s="253"/>
      <c r="G340" s="253"/>
      <c r="H340" s="253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ht="13.5" customHeight="1">
      <c r="A341" s="21"/>
      <c r="B341" s="21"/>
      <c r="C341" s="21"/>
      <c r="D341" s="21"/>
      <c r="E341" s="253"/>
      <c r="F341" s="253"/>
      <c r="G341" s="253"/>
      <c r="H341" s="253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ht="13.5" customHeight="1">
      <c r="A342" s="21"/>
      <c r="B342" s="21"/>
      <c r="C342" s="21"/>
      <c r="D342" s="21"/>
      <c r="E342" s="253"/>
      <c r="F342" s="253"/>
      <c r="G342" s="253"/>
      <c r="H342" s="253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ht="13.5" customHeight="1">
      <c r="A343" s="21"/>
      <c r="B343" s="21"/>
      <c r="C343" s="21"/>
      <c r="D343" s="21"/>
      <c r="E343" s="253"/>
      <c r="F343" s="253"/>
      <c r="G343" s="253"/>
      <c r="H343" s="253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ht="13.5" customHeight="1">
      <c r="A344" s="21"/>
      <c r="B344" s="21"/>
      <c r="C344" s="21"/>
      <c r="D344" s="21"/>
      <c r="E344" s="253"/>
      <c r="F344" s="253"/>
      <c r="G344" s="253"/>
      <c r="H344" s="253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ht="13.5" customHeight="1">
      <c r="A345" s="21"/>
      <c r="B345" s="21"/>
      <c r="C345" s="21"/>
      <c r="D345" s="21"/>
      <c r="E345" s="253"/>
      <c r="F345" s="253"/>
      <c r="G345" s="253"/>
      <c r="H345" s="253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ht="13.5" customHeight="1">
      <c r="A346" s="21"/>
      <c r="B346" s="21"/>
      <c r="C346" s="21"/>
      <c r="D346" s="21"/>
      <c r="E346" s="253"/>
      <c r="F346" s="253"/>
      <c r="G346" s="253"/>
      <c r="H346" s="253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ht="13.5" customHeight="1">
      <c r="A347" s="21"/>
      <c r="B347" s="21"/>
      <c r="C347" s="21"/>
      <c r="D347" s="21"/>
      <c r="E347" s="253"/>
      <c r="F347" s="253"/>
      <c r="G347" s="253"/>
      <c r="H347" s="253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ht="13.5" customHeight="1">
      <c r="A348" s="21"/>
      <c r="B348" s="21"/>
      <c r="C348" s="21"/>
      <c r="D348" s="21"/>
      <c r="E348" s="253"/>
      <c r="F348" s="253"/>
      <c r="G348" s="253"/>
      <c r="H348" s="253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ht="13.5" customHeight="1">
      <c r="A349" s="21"/>
      <c r="B349" s="21"/>
      <c r="C349" s="21"/>
      <c r="D349" s="21"/>
      <c r="E349" s="253"/>
      <c r="F349" s="253"/>
      <c r="G349" s="253"/>
      <c r="H349" s="253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ht="13.5" customHeight="1">
      <c r="A350" s="21"/>
      <c r="B350" s="21"/>
      <c r="C350" s="21"/>
      <c r="D350" s="21"/>
      <c r="E350" s="253"/>
      <c r="F350" s="253"/>
      <c r="G350" s="253"/>
      <c r="H350" s="253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ht="13.5" customHeight="1">
      <c r="A351" s="21"/>
      <c r="B351" s="21"/>
      <c r="C351" s="21"/>
      <c r="D351" s="21"/>
      <c r="E351" s="253"/>
      <c r="F351" s="253"/>
      <c r="G351" s="253"/>
      <c r="H351" s="253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ht="13.5" customHeight="1">
      <c r="A352" s="21"/>
      <c r="B352" s="21"/>
      <c r="C352" s="21"/>
      <c r="D352" s="21"/>
      <c r="E352" s="253"/>
      <c r="F352" s="253"/>
      <c r="G352" s="253"/>
      <c r="H352" s="253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ht="13.5" customHeight="1">
      <c r="A353" s="21"/>
      <c r="B353" s="21"/>
      <c r="C353" s="21"/>
      <c r="D353" s="21"/>
      <c r="E353" s="253"/>
      <c r="F353" s="253"/>
      <c r="G353" s="253"/>
      <c r="H353" s="253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ht="13.5" customHeight="1">
      <c r="A354" s="21"/>
      <c r="B354" s="21"/>
      <c r="C354" s="21"/>
      <c r="D354" s="21"/>
      <c r="E354" s="253"/>
      <c r="F354" s="253"/>
      <c r="G354" s="253"/>
      <c r="H354" s="253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ht="13.5" customHeight="1">
      <c r="A355" s="21"/>
      <c r="B355" s="21"/>
      <c r="C355" s="21"/>
      <c r="D355" s="21"/>
      <c r="E355" s="253"/>
      <c r="F355" s="253"/>
      <c r="G355" s="253"/>
      <c r="H355" s="253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ht="13.5" customHeight="1">
      <c r="A356" s="21"/>
      <c r="B356" s="21"/>
      <c r="C356" s="21"/>
      <c r="D356" s="21"/>
      <c r="E356" s="253"/>
      <c r="F356" s="253"/>
      <c r="G356" s="253"/>
      <c r="H356" s="253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ht="13.5" customHeight="1">
      <c r="A357" s="21"/>
      <c r="B357" s="21"/>
      <c r="C357" s="21"/>
      <c r="D357" s="21"/>
      <c r="E357" s="253"/>
      <c r="F357" s="253"/>
      <c r="G357" s="253"/>
      <c r="H357" s="253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ht="13.5" customHeight="1">
      <c r="A358" s="21"/>
      <c r="B358" s="21"/>
      <c r="C358" s="21"/>
      <c r="D358" s="21"/>
      <c r="E358" s="253"/>
      <c r="F358" s="253"/>
      <c r="G358" s="253"/>
      <c r="H358" s="253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ht="13.5" customHeight="1">
      <c r="A359" s="21"/>
      <c r="B359" s="21"/>
      <c r="C359" s="21"/>
      <c r="D359" s="21"/>
      <c r="E359" s="253"/>
      <c r="F359" s="253"/>
      <c r="G359" s="253"/>
      <c r="H359" s="253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ht="13.5" customHeight="1">
      <c r="A360" s="21"/>
      <c r="B360" s="21"/>
      <c r="C360" s="21"/>
      <c r="D360" s="21"/>
      <c r="E360" s="253"/>
      <c r="F360" s="253"/>
      <c r="G360" s="253"/>
      <c r="H360" s="253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ht="13.5" customHeight="1">
      <c r="A361" s="21"/>
      <c r="B361" s="21"/>
      <c r="C361" s="21"/>
      <c r="D361" s="21"/>
      <c r="E361" s="253"/>
      <c r="F361" s="253"/>
      <c r="G361" s="253"/>
      <c r="H361" s="253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ht="13.5" customHeight="1">
      <c r="A362" s="21"/>
      <c r="B362" s="21"/>
      <c r="C362" s="21"/>
      <c r="D362" s="21"/>
      <c r="E362" s="253"/>
      <c r="F362" s="253"/>
      <c r="G362" s="253"/>
      <c r="H362" s="253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ht="13.5" customHeight="1">
      <c r="A363" s="21"/>
      <c r="B363" s="21"/>
      <c r="C363" s="21"/>
      <c r="D363" s="21"/>
      <c r="E363" s="253"/>
      <c r="F363" s="253"/>
      <c r="G363" s="253"/>
      <c r="H363" s="253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O$173"/>
  <mergeCells count="602"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8:G298"/>
    <mergeCell ref="F299:G299"/>
    <mergeCell ref="F300:G300"/>
    <mergeCell ref="F301:G301"/>
    <mergeCell ref="F291:G291"/>
    <mergeCell ref="F292:G292"/>
    <mergeCell ref="F293:G293"/>
    <mergeCell ref="F294:G294"/>
    <mergeCell ref="F295:G295"/>
    <mergeCell ref="F296:G296"/>
    <mergeCell ref="F297:G297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M182:O182"/>
    <mergeCell ref="M183:O183"/>
    <mergeCell ref="M184:O184"/>
    <mergeCell ref="M185:O185"/>
    <mergeCell ref="M186:O186"/>
    <mergeCell ref="M187:O187"/>
    <mergeCell ref="M188:O188"/>
    <mergeCell ref="M189:O189"/>
    <mergeCell ref="M190:O190"/>
    <mergeCell ref="M191:O191"/>
    <mergeCell ref="M192:O192"/>
    <mergeCell ref="M193:O193"/>
    <mergeCell ref="M194:O194"/>
    <mergeCell ref="M195:O195"/>
    <mergeCell ref="M196:O196"/>
    <mergeCell ref="M197:O197"/>
    <mergeCell ref="M198:O198"/>
    <mergeCell ref="M199:O199"/>
    <mergeCell ref="M200:O200"/>
    <mergeCell ref="M201:O201"/>
    <mergeCell ref="M202:O202"/>
    <mergeCell ref="M203:O203"/>
    <mergeCell ref="M204:O204"/>
    <mergeCell ref="M205:O205"/>
    <mergeCell ref="M206:O206"/>
    <mergeCell ref="M207:O207"/>
    <mergeCell ref="M208:O208"/>
    <mergeCell ref="M209:O209"/>
    <mergeCell ref="M210:O210"/>
    <mergeCell ref="M211:O211"/>
    <mergeCell ref="M212:O212"/>
    <mergeCell ref="M213:O213"/>
    <mergeCell ref="M214:O214"/>
    <mergeCell ref="M215:O215"/>
    <mergeCell ref="M216:O216"/>
    <mergeCell ref="M217:O217"/>
    <mergeCell ref="M218:O218"/>
    <mergeCell ref="M219:O219"/>
    <mergeCell ref="M220:O220"/>
    <mergeCell ref="M221:O221"/>
    <mergeCell ref="M222:O222"/>
    <mergeCell ref="M223:O223"/>
    <mergeCell ref="M224:O224"/>
    <mergeCell ref="M225:O225"/>
    <mergeCell ref="M226:O226"/>
    <mergeCell ref="M227:O227"/>
    <mergeCell ref="M228:O228"/>
    <mergeCell ref="M229:O229"/>
    <mergeCell ref="M230:O230"/>
    <mergeCell ref="M280:O280"/>
    <mergeCell ref="M281:O281"/>
    <mergeCell ref="M282:O282"/>
    <mergeCell ref="M283:O283"/>
    <mergeCell ref="M284:O284"/>
    <mergeCell ref="M285:O285"/>
    <mergeCell ref="M286:O286"/>
    <mergeCell ref="M294:O294"/>
    <mergeCell ref="M295:O295"/>
    <mergeCell ref="M296:O296"/>
    <mergeCell ref="M297:O297"/>
    <mergeCell ref="M298:O298"/>
    <mergeCell ref="M299:O299"/>
    <mergeCell ref="M300:O300"/>
    <mergeCell ref="M301:O301"/>
    <mergeCell ref="M287:O287"/>
    <mergeCell ref="M288:O288"/>
    <mergeCell ref="M289:O289"/>
    <mergeCell ref="M290:O290"/>
    <mergeCell ref="M291:O291"/>
    <mergeCell ref="M292:O292"/>
    <mergeCell ref="M293:O293"/>
    <mergeCell ref="M231:O231"/>
    <mergeCell ref="M232:O232"/>
    <mergeCell ref="M233:O233"/>
    <mergeCell ref="M234:O234"/>
    <mergeCell ref="M235:O235"/>
    <mergeCell ref="M236:O236"/>
    <mergeCell ref="M237:O237"/>
    <mergeCell ref="M238:O238"/>
    <mergeCell ref="M239:O239"/>
    <mergeCell ref="M240:O240"/>
    <mergeCell ref="M241:O241"/>
    <mergeCell ref="M242:O242"/>
    <mergeCell ref="M243:O243"/>
    <mergeCell ref="M244:O244"/>
    <mergeCell ref="M245:O245"/>
    <mergeCell ref="M246:O246"/>
    <mergeCell ref="M247:O247"/>
    <mergeCell ref="M248:O248"/>
    <mergeCell ref="M249:O249"/>
    <mergeCell ref="M250:O250"/>
    <mergeCell ref="M251:O251"/>
    <mergeCell ref="M252:O252"/>
    <mergeCell ref="M253:O253"/>
    <mergeCell ref="M254:O254"/>
    <mergeCell ref="M255:O255"/>
    <mergeCell ref="M256:O256"/>
    <mergeCell ref="M257:O257"/>
    <mergeCell ref="M258:O258"/>
    <mergeCell ref="M259:O259"/>
    <mergeCell ref="M260:O260"/>
    <mergeCell ref="M261:O261"/>
    <mergeCell ref="M262:O262"/>
    <mergeCell ref="M263:O263"/>
    <mergeCell ref="M264:O264"/>
    <mergeCell ref="M265:O265"/>
    <mergeCell ref="M266:O266"/>
    <mergeCell ref="M267:O267"/>
    <mergeCell ref="M268:O268"/>
    <mergeCell ref="M269:O269"/>
    <mergeCell ref="M270:O270"/>
    <mergeCell ref="M271:O271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6:O26"/>
    <mergeCell ref="M27:O27"/>
    <mergeCell ref="M19:O19"/>
    <mergeCell ref="M20:O20"/>
    <mergeCell ref="M21:O21"/>
    <mergeCell ref="M22:O22"/>
    <mergeCell ref="M23:O23"/>
    <mergeCell ref="M24:O24"/>
    <mergeCell ref="M25:O25"/>
    <mergeCell ref="A1:E3"/>
    <mergeCell ref="H1:H3"/>
    <mergeCell ref="I1:J3"/>
    <mergeCell ref="M1:N1"/>
    <mergeCell ref="M2:N2"/>
    <mergeCell ref="M3:N3"/>
    <mergeCell ref="M4:O4"/>
    <mergeCell ref="F4:G4"/>
    <mergeCell ref="F5:G5"/>
    <mergeCell ref="F6:G6"/>
    <mergeCell ref="F7:G7"/>
    <mergeCell ref="F8:G8"/>
    <mergeCell ref="F9:G9"/>
    <mergeCell ref="F10:G10"/>
    <mergeCell ref="M5:O5"/>
    <mergeCell ref="M6:O6"/>
    <mergeCell ref="M7:O7"/>
    <mergeCell ref="M8:O8"/>
    <mergeCell ref="M9:O9"/>
    <mergeCell ref="M10:O10"/>
    <mergeCell ref="M11:O11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M12:O12"/>
    <mergeCell ref="M13:O13"/>
    <mergeCell ref="M14:O14"/>
    <mergeCell ref="M15:O15"/>
    <mergeCell ref="M16:O16"/>
    <mergeCell ref="M17:O17"/>
    <mergeCell ref="M18:O18"/>
    <mergeCell ref="M28:O28"/>
    <mergeCell ref="M29:O29"/>
    <mergeCell ref="M30:O30"/>
    <mergeCell ref="M31:O31"/>
    <mergeCell ref="M32:O32"/>
    <mergeCell ref="M33:O33"/>
    <mergeCell ref="M34:O3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M74:O74"/>
    <mergeCell ref="M75:O75"/>
    <mergeCell ref="M76:O76"/>
    <mergeCell ref="M77:O77"/>
    <mergeCell ref="M78:O78"/>
    <mergeCell ref="M79:O79"/>
    <mergeCell ref="M80:O80"/>
    <mergeCell ref="M81:O81"/>
    <mergeCell ref="M82:O82"/>
    <mergeCell ref="M83:O8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M84:O84"/>
    <mergeCell ref="M85:O85"/>
    <mergeCell ref="M86:O86"/>
    <mergeCell ref="M87:O87"/>
    <mergeCell ref="M88:O88"/>
    <mergeCell ref="M89:O89"/>
    <mergeCell ref="M90:O90"/>
    <mergeCell ref="M91:O91"/>
    <mergeCell ref="M92:O92"/>
    <mergeCell ref="M93:O93"/>
    <mergeCell ref="M94:O94"/>
    <mergeCell ref="M95:O95"/>
    <mergeCell ref="M96:O96"/>
    <mergeCell ref="M97:O97"/>
    <mergeCell ref="M98:O98"/>
    <mergeCell ref="M99:O99"/>
    <mergeCell ref="M100:O100"/>
    <mergeCell ref="M101:O101"/>
    <mergeCell ref="M102:O102"/>
    <mergeCell ref="M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127:O127"/>
    <mergeCell ref="M128:O128"/>
    <mergeCell ref="M129:O129"/>
    <mergeCell ref="M130:O130"/>
    <mergeCell ref="M131:O131"/>
    <mergeCell ref="M132:O132"/>
    <mergeCell ref="M133:O133"/>
    <mergeCell ref="M134:O134"/>
    <mergeCell ref="M135:O135"/>
    <mergeCell ref="M136:O136"/>
    <mergeCell ref="M137:O137"/>
    <mergeCell ref="M138:O138"/>
    <mergeCell ref="M139:O139"/>
    <mergeCell ref="M140:O140"/>
    <mergeCell ref="M141:O141"/>
    <mergeCell ref="M142:O142"/>
    <mergeCell ref="M143:O143"/>
    <mergeCell ref="M144:O144"/>
    <mergeCell ref="M145:O145"/>
    <mergeCell ref="M146:O146"/>
    <mergeCell ref="M147:O147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M158:O158"/>
    <mergeCell ref="M159:O159"/>
    <mergeCell ref="M160:O160"/>
    <mergeCell ref="M161:O161"/>
    <mergeCell ref="M162:O162"/>
    <mergeCell ref="M163:O163"/>
    <mergeCell ref="M164:O164"/>
    <mergeCell ref="M165:O165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75:O175"/>
    <mergeCell ref="M176:O176"/>
    <mergeCell ref="M177:O177"/>
    <mergeCell ref="M178:O178"/>
    <mergeCell ref="M179:O179"/>
    <mergeCell ref="M180:O180"/>
    <mergeCell ref="M181:O181"/>
  </mergeCells>
  <conditionalFormatting sqref="I4:I7 I15 I20:I25 I35:I36 I56:I65 I88 I173 I183 I189 I198 I202 I204 I207:I208 I213:I217 I223 I226:I228 I230 I234:I236 I242 I245:I247 I257 I263 I266:I267 I272:I274 I277:I278 I288:I290 I292 I300 I302:I372">
    <cfRule type="containsText" dxfId="1" priority="1" operator="containsText" text="Open">
      <formula>NOT(ISERROR(SEARCH(("Open"),(I4))))</formula>
    </cfRule>
  </conditionalFormatting>
  <conditionalFormatting sqref="I4:I7 I15 I20:I25 I35:I36 I56:I65 I88 I173 I183 I189 I198 I202 I204 I207:I208 I213:I217 I223 I226:I228 I230 I234:I236 I242 I245:I247 I257 I263 I266:I267 I272:I274 I277:I278 I288:I290 I292 I300 I302:I372">
    <cfRule type="containsText" dxfId="7" priority="2" operator="containsText" text="Closed">
      <formula>NOT(ISERROR(SEARCH(("Closed"),(I4))))</formula>
    </cfRule>
  </conditionalFormatting>
  <conditionalFormatting sqref="I63">
    <cfRule type="containsText" dxfId="1" priority="3" operator="containsText" text="Open">
      <formula>NOT(ISERROR(SEARCH(("Open"),(I63))))</formula>
    </cfRule>
  </conditionalFormatting>
  <conditionalFormatting sqref="I63">
    <cfRule type="containsText" dxfId="7" priority="4" operator="containsText" text="Closed">
      <formula>NOT(ISERROR(SEARCH(("Closed"),(I63))))</formula>
    </cfRule>
  </conditionalFormatting>
  <conditionalFormatting sqref="I65">
    <cfRule type="containsText" dxfId="1" priority="5" operator="containsText" text="Open">
      <formula>NOT(ISERROR(SEARCH(("Open"),(I65))))</formula>
    </cfRule>
  </conditionalFormatting>
  <conditionalFormatting sqref="I65">
    <cfRule type="containsText" dxfId="7" priority="6" operator="containsText" text="Closed">
      <formula>NOT(ISERROR(SEARCH(("Closed"),(I65))))</formula>
    </cfRule>
  </conditionalFormatting>
  <conditionalFormatting sqref="I87">
    <cfRule type="containsText" dxfId="1" priority="7" operator="containsText" text="Open">
      <formula>NOT(ISERROR(SEARCH(("Open"),(I87))))</formula>
    </cfRule>
  </conditionalFormatting>
  <conditionalFormatting sqref="I87">
    <cfRule type="containsText" dxfId="7" priority="8" operator="containsText" text="Closed">
      <formula>NOT(ISERROR(SEARCH(("Closed"),(I87))))</formula>
    </cfRule>
  </conditionalFormatting>
  <conditionalFormatting sqref="I164:I169">
    <cfRule type="containsText" dxfId="1" priority="9" operator="containsText" text="Open">
      <formula>NOT(ISERROR(SEARCH(("Open"),(I164))))</formula>
    </cfRule>
  </conditionalFormatting>
  <conditionalFormatting sqref="I164:I169">
    <cfRule type="containsText" dxfId="7" priority="10" operator="containsText" text="Closed">
      <formula>NOT(ISERROR(SEARCH(("Closed"),(I164))))</formula>
    </cfRule>
  </conditionalFormatting>
  <conditionalFormatting sqref="I165">
    <cfRule type="containsText" dxfId="1" priority="11" operator="containsText" text="Open">
      <formula>NOT(ISERROR(SEARCH(("Open"),(I165))))</formula>
    </cfRule>
  </conditionalFormatting>
  <conditionalFormatting sqref="I165">
    <cfRule type="containsText" dxfId="7" priority="12" operator="containsText" text="Closed">
      <formula>NOT(ISERROR(SEARCH(("Closed"),(I165))))</formula>
    </cfRule>
  </conditionalFormatting>
  <conditionalFormatting sqref="I166">
    <cfRule type="containsText" dxfId="1" priority="13" operator="containsText" text="Open">
      <formula>NOT(ISERROR(SEARCH(("Open"),(I166))))</formula>
    </cfRule>
  </conditionalFormatting>
  <conditionalFormatting sqref="I166">
    <cfRule type="containsText" dxfId="7" priority="14" operator="containsText" text="Closed">
      <formula>NOT(ISERROR(SEARCH(("Closed"),(I166))))</formula>
    </cfRule>
  </conditionalFormatting>
  <conditionalFormatting sqref="I167">
    <cfRule type="containsText" dxfId="1" priority="15" operator="containsText" text="Open">
      <formula>NOT(ISERROR(SEARCH(("Open"),(I167))))</formula>
    </cfRule>
  </conditionalFormatting>
  <conditionalFormatting sqref="I167">
    <cfRule type="containsText" dxfId="7" priority="16" operator="containsText" text="Closed">
      <formula>NOT(ISERROR(SEARCH(("Closed"),(I167))))</formula>
    </cfRule>
  </conditionalFormatting>
  <conditionalFormatting sqref="I168">
    <cfRule type="containsText" dxfId="1" priority="17" operator="containsText" text="Open">
      <formula>NOT(ISERROR(SEARCH(("Open"),(I168))))</formula>
    </cfRule>
  </conditionalFormatting>
  <conditionalFormatting sqref="I168">
    <cfRule type="containsText" dxfId="7" priority="18" operator="containsText" text="Closed">
      <formula>NOT(ISERROR(SEARCH(("Closed"),(I168))))</formula>
    </cfRule>
  </conditionalFormatting>
  <conditionalFormatting sqref="I169">
    <cfRule type="containsText" dxfId="1" priority="19" operator="containsText" text="Open">
      <formula>NOT(ISERROR(SEARCH(("Open"),(I169))))</formula>
    </cfRule>
  </conditionalFormatting>
  <conditionalFormatting sqref="I169">
    <cfRule type="containsText" dxfId="7" priority="20" operator="containsText" text="Closed">
      <formula>NOT(ISERROR(SEARCH(("Closed"),(I169))))</formula>
    </cfRule>
  </conditionalFormatting>
  <conditionalFormatting sqref="I170">
    <cfRule type="containsText" dxfId="1" priority="21" operator="containsText" text="Open">
      <formula>NOT(ISERROR(SEARCH(("Open"),(I170))))</formula>
    </cfRule>
  </conditionalFormatting>
  <conditionalFormatting sqref="I170">
    <cfRule type="containsText" dxfId="7" priority="22" operator="containsText" text="Closed">
      <formula>NOT(ISERROR(SEARCH(("Closed"),(I170))))</formula>
    </cfRule>
  </conditionalFormatting>
  <conditionalFormatting sqref="I171">
    <cfRule type="containsText" dxfId="1" priority="23" operator="containsText" text="Open">
      <formula>NOT(ISERROR(SEARCH(("Open"),(I171))))</formula>
    </cfRule>
  </conditionalFormatting>
  <conditionalFormatting sqref="I171">
    <cfRule type="containsText" dxfId="7" priority="24" operator="containsText" text="Closed">
      <formula>NOT(ISERROR(SEARCH(("Closed"),(I171))))</formula>
    </cfRule>
  </conditionalFormatting>
  <conditionalFormatting sqref="I172:I173">
    <cfRule type="containsText" dxfId="1" priority="25" operator="containsText" text="Open">
      <formula>NOT(ISERROR(SEARCH(("Open"),(I172))))</formula>
    </cfRule>
  </conditionalFormatting>
  <conditionalFormatting sqref="I172:I173">
    <cfRule type="containsText" dxfId="7" priority="26" operator="containsText" text="Closed">
      <formula>NOT(ISERROR(SEARCH(("Closed"),(I172))))</formula>
    </cfRule>
  </conditionalFormatting>
  <conditionalFormatting sqref="I174">
    <cfRule type="containsText" dxfId="1" priority="27" operator="containsText" text="Open">
      <formula>NOT(ISERROR(SEARCH(("Open"),(I174))))</formula>
    </cfRule>
  </conditionalFormatting>
  <conditionalFormatting sqref="I174">
    <cfRule type="containsText" dxfId="7" priority="28" operator="containsText" text="Closed">
      <formula>NOT(ISERROR(SEARCH(("Closed"),(I174))))</formula>
    </cfRule>
  </conditionalFormatting>
  <conditionalFormatting sqref="I175">
    <cfRule type="containsText" dxfId="1" priority="29" operator="containsText" text="Open">
      <formula>NOT(ISERROR(SEARCH(("Open"),(I175))))</formula>
    </cfRule>
  </conditionalFormatting>
  <conditionalFormatting sqref="I175">
    <cfRule type="containsText" dxfId="7" priority="30" operator="containsText" text="Closed">
      <formula>NOT(ISERROR(SEARCH(("Closed"),(I175))))</formula>
    </cfRule>
  </conditionalFormatting>
  <conditionalFormatting sqref="I176">
    <cfRule type="containsText" dxfId="1" priority="31" operator="containsText" text="Open">
      <formula>NOT(ISERROR(SEARCH(("Open"),(I176))))</formula>
    </cfRule>
  </conditionalFormatting>
  <conditionalFormatting sqref="I176">
    <cfRule type="containsText" dxfId="7" priority="32" operator="containsText" text="Closed">
      <formula>NOT(ISERROR(SEARCH(("Closed"),(I176))))</formula>
    </cfRule>
  </conditionalFormatting>
  <conditionalFormatting sqref="I177">
    <cfRule type="containsText" dxfId="1" priority="33" operator="containsText" text="Open">
      <formula>NOT(ISERROR(SEARCH(("Open"),(I177))))</formula>
    </cfRule>
  </conditionalFormatting>
  <conditionalFormatting sqref="I177">
    <cfRule type="containsText" dxfId="7" priority="34" operator="containsText" text="Closed">
      <formula>NOT(ISERROR(SEARCH(("Closed"),(I177))))</formula>
    </cfRule>
  </conditionalFormatting>
  <conditionalFormatting sqref="I178">
    <cfRule type="containsText" dxfId="1" priority="35" operator="containsText" text="Open">
      <formula>NOT(ISERROR(SEARCH(("Open"),(I178))))</formula>
    </cfRule>
  </conditionalFormatting>
  <conditionalFormatting sqref="I178">
    <cfRule type="containsText" dxfId="7" priority="36" operator="containsText" text="Closed">
      <formula>NOT(ISERROR(SEARCH(("Closed"),(I178))))</formula>
    </cfRule>
  </conditionalFormatting>
  <conditionalFormatting sqref="I179">
    <cfRule type="containsText" dxfId="1" priority="37" operator="containsText" text="Open">
      <formula>NOT(ISERROR(SEARCH(("Open"),(I179))))</formula>
    </cfRule>
  </conditionalFormatting>
  <conditionalFormatting sqref="I179">
    <cfRule type="containsText" dxfId="7" priority="38" operator="containsText" text="Closed">
      <formula>NOT(ISERROR(SEARCH(("Closed"),(I179))))</formula>
    </cfRule>
  </conditionalFormatting>
  <conditionalFormatting sqref="I180">
    <cfRule type="containsText" dxfId="1" priority="39" operator="containsText" text="Open">
      <formula>NOT(ISERROR(SEARCH(("Open"),(I180))))</formula>
    </cfRule>
  </conditionalFormatting>
  <conditionalFormatting sqref="I180">
    <cfRule type="containsText" dxfId="7" priority="40" operator="containsText" text="Closed">
      <formula>NOT(ISERROR(SEARCH(("Closed"),(I180))))</formula>
    </cfRule>
  </conditionalFormatting>
  <conditionalFormatting sqref="I181">
    <cfRule type="containsText" dxfId="1" priority="41" operator="containsText" text="Open">
      <formula>NOT(ISERROR(SEARCH(("Open"),(I181))))</formula>
    </cfRule>
  </conditionalFormatting>
  <conditionalFormatting sqref="I181">
    <cfRule type="containsText" dxfId="7" priority="42" operator="containsText" text="Closed">
      <formula>NOT(ISERROR(SEARCH(("Closed"),(I181))))</formula>
    </cfRule>
  </conditionalFormatting>
  <conditionalFormatting sqref="I182">
    <cfRule type="containsText" dxfId="1" priority="43" operator="containsText" text="Open">
      <formula>NOT(ISERROR(SEARCH(("Open"),(I182))))</formula>
    </cfRule>
  </conditionalFormatting>
  <conditionalFormatting sqref="I182">
    <cfRule type="containsText" dxfId="7" priority="44" operator="containsText" text="Closed">
      <formula>NOT(ISERROR(SEARCH(("Closed"),(I182))))</formula>
    </cfRule>
  </conditionalFormatting>
  <conditionalFormatting sqref="I184">
    <cfRule type="containsText" dxfId="1" priority="45" operator="containsText" text="Open">
      <formula>NOT(ISERROR(SEARCH(("Open"),(I184))))</formula>
    </cfRule>
  </conditionalFormatting>
  <conditionalFormatting sqref="I184">
    <cfRule type="containsText" dxfId="7" priority="46" operator="containsText" text="Closed">
      <formula>NOT(ISERROR(SEARCH(("Closed"),(I184))))</formula>
    </cfRule>
  </conditionalFormatting>
  <conditionalFormatting sqref="I185">
    <cfRule type="containsText" dxfId="1" priority="47" operator="containsText" text="Open">
      <formula>NOT(ISERROR(SEARCH(("Open"),(I185))))</formula>
    </cfRule>
  </conditionalFormatting>
  <conditionalFormatting sqref="I185">
    <cfRule type="containsText" dxfId="7" priority="48" operator="containsText" text="Closed">
      <formula>NOT(ISERROR(SEARCH(("Closed"),(I185))))</formula>
    </cfRule>
  </conditionalFormatting>
  <conditionalFormatting sqref="I186:I188">
    <cfRule type="containsText" dxfId="1" priority="49" operator="containsText" text="Open">
      <formula>NOT(ISERROR(SEARCH(("Open"),(I186))))</formula>
    </cfRule>
  </conditionalFormatting>
  <conditionalFormatting sqref="I186:I188">
    <cfRule type="containsText" dxfId="7" priority="50" operator="containsText" text="Closed">
      <formula>NOT(ISERROR(SEARCH(("Closed"),(I186))))</formula>
    </cfRule>
  </conditionalFormatting>
  <conditionalFormatting sqref="I190:I194">
    <cfRule type="containsText" dxfId="1" priority="51" operator="containsText" text="Open">
      <formula>NOT(ISERROR(SEARCH(("Open"),(I190))))</formula>
    </cfRule>
  </conditionalFormatting>
  <conditionalFormatting sqref="I190:I194">
    <cfRule type="containsText" dxfId="7" priority="52" operator="containsText" text="Closed">
      <formula>NOT(ISERROR(SEARCH(("Closed"),(I190))))</formula>
    </cfRule>
  </conditionalFormatting>
  <conditionalFormatting sqref="I195">
    <cfRule type="containsText" dxfId="1" priority="53" operator="containsText" text="Open">
      <formula>NOT(ISERROR(SEARCH(("Open"),(I195))))</formula>
    </cfRule>
  </conditionalFormatting>
  <conditionalFormatting sqref="I195">
    <cfRule type="containsText" dxfId="7" priority="54" operator="containsText" text="Closed">
      <formula>NOT(ISERROR(SEARCH(("Closed"),(I195))))</formula>
    </cfRule>
  </conditionalFormatting>
  <conditionalFormatting sqref="I196">
    <cfRule type="containsText" dxfId="1" priority="55" operator="containsText" text="Open">
      <formula>NOT(ISERROR(SEARCH(("Open"),(I196))))</formula>
    </cfRule>
  </conditionalFormatting>
  <conditionalFormatting sqref="I196">
    <cfRule type="containsText" dxfId="7" priority="56" operator="containsText" text="Closed">
      <formula>NOT(ISERROR(SEARCH(("Closed"),(I196))))</formula>
    </cfRule>
  </conditionalFormatting>
  <conditionalFormatting sqref="I197">
    <cfRule type="containsText" dxfId="1" priority="57" operator="containsText" text="Open">
      <formula>NOT(ISERROR(SEARCH(("Open"),(I197))))</formula>
    </cfRule>
  </conditionalFormatting>
  <conditionalFormatting sqref="I197">
    <cfRule type="containsText" dxfId="7" priority="58" operator="containsText" text="Closed">
      <formula>NOT(ISERROR(SEARCH(("Closed"),(I197))))</formula>
    </cfRule>
  </conditionalFormatting>
  <conditionalFormatting sqref="I199:I201">
    <cfRule type="containsText" dxfId="1" priority="59" operator="containsText" text="Open">
      <formula>NOT(ISERROR(SEARCH(("Open"),(I199))))</formula>
    </cfRule>
  </conditionalFormatting>
  <conditionalFormatting sqref="I199:I201">
    <cfRule type="containsText" dxfId="7" priority="60" operator="containsText" text="Closed">
      <formula>NOT(ISERROR(SEARCH(("Closed"),(I199))))</formula>
    </cfRule>
  </conditionalFormatting>
  <conditionalFormatting sqref="I203">
    <cfRule type="containsText" dxfId="1" priority="61" operator="containsText" text="Open">
      <formula>NOT(ISERROR(SEARCH(("Open"),(I203))))</formula>
    </cfRule>
  </conditionalFormatting>
  <conditionalFormatting sqref="I203">
    <cfRule type="containsText" dxfId="7" priority="62" operator="containsText" text="Closed">
      <formula>NOT(ISERROR(SEARCH(("Closed"),(I203))))</formula>
    </cfRule>
  </conditionalFormatting>
  <conditionalFormatting sqref="I205">
    <cfRule type="containsText" dxfId="1" priority="63" operator="containsText" text="Open">
      <formula>NOT(ISERROR(SEARCH(("Open"),(I205))))</formula>
    </cfRule>
  </conditionalFormatting>
  <conditionalFormatting sqref="I205">
    <cfRule type="containsText" dxfId="7" priority="64" operator="containsText" text="Closed">
      <formula>NOT(ISERROR(SEARCH(("Closed"),(I205))))</formula>
    </cfRule>
  </conditionalFormatting>
  <conditionalFormatting sqref="I206">
    <cfRule type="containsText" dxfId="1" priority="65" operator="containsText" text="Open">
      <formula>NOT(ISERROR(SEARCH(("Open"),(I206))))</formula>
    </cfRule>
  </conditionalFormatting>
  <conditionalFormatting sqref="I206">
    <cfRule type="containsText" dxfId="7" priority="66" operator="containsText" text="Closed">
      <formula>NOT(ISERROR(SEARCH(("Closed"),(I206))))</formula>
    </cfRule>
  </conditionalFormatting>
  <conditionalFormatting sqref="I209">
    <cfRule type="containsText" dxfId="1" priority="67" operator="containsText" text="Open">
      <formula>NOT(ISERROR(SEARCH(("Open"),(I209))))</formula>
    </cfRule>
  </conditionalFormatting>
  <conditionalFormatting sqref="I209">
    <cfRule type="containsText" dxfId="7" priority="68" operator="containsText" text="Closed">
      <formula>NOT(ISERROR(SEARCH(("Closed"),(I209))))</formula>
    </cfRule>
  </conditionalFormatting>
  <conditionalFormatting sqref="I210">
    <cfRule type="containsText" dxfId="1" priority="69" operator="containsText" text="Open">
      <formula>NOT(ISERROR(SEARCH(("Open"),(I210))))</formula>
    </cfRule>
  </conditionalFormatting>
  <conditionalFormatting sqref="I210">
    <cfRule type="containsText" dxfId="7" priority="70" operator="containsText" text="Closed">
      <formula>NOT(ISERROR(SEARCH(("Closed"),(I210))))</formula>
    </cfRule>
  </conditionalFormatting>
  <conditionalFormatting sqref="I211">
    <cfRule type="containsText" dxfId="1" priority="71" operator="containsText" text="Open">
      <formula>NOT(ISERROR(SEARCH(("Open"),(I211))))</formula>
    </cfRule>
  </conditionalFormatting>
  <conditionalFormatting sqref="I211">
    <cfRule type="containsText" dxfId="7" priority="72" operator="containsText" text="Closed">
      <formula>NOT(ISERROR(SEARCH(("Closed"),(I211))))</formula>
    </cfRule>
  </conditionalFormatting>
  <conditionalFormatting sqref="I212">
    <cfRule type="containsText" dxfId="1" priority="73" operator="containsText" text="Open">
      <formula>NOT(ISERROR(SEARCH(("Open"),(I212))))</formula>
    </cfRule>
  </conditionalFormatting>
  <conditionalFormatting sqref="I212">
    <cfRule type="containsText" dxfId="7" priority="74" operator="containsText" text="Closed">
      <formula>NOT(ISERROR(SEARCH(("Closed"),(I212))))</formula>
    </cfRule>
  </conditionalFormatting>
  <conditionalFormatting sqref="I218">
    <cfRule type="containsText" dxfId="1" priority="75" operator="containsText" text="Open">
      <formula>NOT(ISERROR(SEARCH(("Open"),(I218))))</formula>
    </cfRule>
  </conditionalFormatting>
  <conditionalFormatting sqref="I218">
    <cfRule type="containsText" dxfId="7" priority="76" operator="containsText" text="Closed">
      <formula>NOT(ISERROR(SEARCH(("Closed"),(I218))))</formula>
    </cfRule>
  </conditionalFormatting>
  <conditionalFormatting sqref="I219">
    <cfRule type="containsText" dxfId="1" priority="77" operator="containsText" text="Open">
      <formula>NOT(ISERROR(SEARCH(("Open"),(I219))))</formula>
    </cfRule>
  </conditionalFormatting>
  <conditionalFormatting sqref="I219">
    <cfRule type="containsText" dxfId="7" priority="78" operator="containsText" text="Closed">
      <formula>NOT(ISERROR(SEARCH(("Closed"),(I219))))</formula>
    </cfRule>
  </conditionalFormatting>
  <conditionalFormatting sqref="I220">
    <cfRule type="containsText" dxfId="1" priority="79" operator="containsText" text="Open">
      <formula>NOT(ISERROR(SEARCH(("Open"),(I220))))</formula>
    </cfRule>
  </conditionalFormatting>
  <conditionalFormatting sqref="I220">
    <cfRule type="containsText" dxfId="7" priority="80" operator="containsText" text="Closed">
      <formula>NOT(ISERROR(SEARCH(("Closed"),(I220))))</formula>
    </cfRule>
  </conditionalFormatting>
  <conditionalFormatting sqref="I221:I222">
    <cfRule type="containsText" dxfId="1" priority="81" operator="containsText" text="Open">
      <formula>NOT(ISERROR(SEARCH(("Open"),(I221))))</formula>
    </cfRule>
  </conditionalFormatting>
  <conditionalFormatting sqref="I221:I222">
    <cfRule type="containsText" dxfId="7" priority="82" operator="containsText" text="Closed">
      <formula>NOT(ISERROR(SEARCH(("Closed"),(I221))))</formula>
    </cfRule>
  </conditionalFormatting>
  <conditionalFormatting sqref="I224">
    <cfRule type="containsText" dxfId="1" priority="83" operator="containsText" text="Open">
      <formula>NOT(ISERROR(SEARCH(("Open"),(I224))))</formula>
    </cfRule>
  </conditionalFormatting>
  <conditionalFormatting sqref="I224">
    <cfRule type="containsText" dxfId="7" priority="84" operator="containsText" text="Closed">
      <formula>NOT(ISERROR(SEARCH(("Closed"),(I224))))</formula>
    </cfRule>
  </conditionalFormatting>
  <conditionalFormatting sqref="I225">
    <cfRule type="containsText" dxfId="1" priority="85" operator="containsText" text="Open">
      <formula>NOT(ISERROR(SEARCH(("Open"),(I225))))</formula>
    </cfRule>
  </conditionalFormatting>
  <conditionalFormatting sqref="I225">
    <cfRule type="containsText" dxfId="7" priority="86" operator="containsText" text="Closed">
      <formula>NOT(ISERROR(SEARCH(("Closed"),(I225))))</formula>
    </cfRule>
  </conditionalFormatting>
  <conditionalFormatting sqref="I229">
    <cfRule type="containsText" dxfId="1" priority="87" operator="containsText" text="Open">
      <formula>NOT(ISERROR(SEARCH(("Open"),(I229))))</formula>
    </cfRule>
  </conditionalFormatting>
  <conditionalFormatting sqref="I229">
    <cfRule type="containsText" dxfId="7" priority="88" operator="containsText" text="Closed">
      <formula>NOT(ISERROR(SEARCH(("Closed"),(I229))))</formula>
    </cfRule>
  </conditionalFormatting>
  <conditionalFormatting sqref="I231">
    <cfRule type="containsText" dxfId="1" priority="89" operator="containsText" text="Open">
      <formula>NOT(ISERROR(SEARCH(("Open"),(I231))))</formula>
    </cfRule>
  </conditionalFormatting>
  <conditionalFormatting sqref="I231">
    <cfRule type="containsText" dxfId="7" priority="90" operator="containsText" text="Closed">
      <formula>NOT(ISERROR(SEARCH(("Closed"),(I231))))</formula>
    </cfRule>
  </conditionalFormatting>
  <conditionalFormatting sqref="I232">
    <cfRule type="containsText" dxfId="1" priority="91" operator="containsText" text="Open">
      <formula>NOT(ISERROR(SEARCH(("Open"),(I232))))</formula>
    </cfRule>
  </conditionalFormatting>
  <conditionalFormatting sqref="I232">
    <cfRule type="containsText" dxfId="7" priority="92" operator="containsText" text="Closed">
      <formula>NOT(ISERROR(SEARCH(("Closed"),(I232))))</formula>
    </cfRule>
  </conditionalFormatting>
  <conditionalFormatting sqref="I233">
    <cfRule type="containsText" dxfId="1" priority="93" operator="containsText" text="Open">
      <formula>NOT(ISERROR(SEARCH(("Open"),(I233))))</formula>
    </cfRule>
  </conditionalFormatting>
  <conditionalFormatting sqref="I233">
    <cfRule type="containsText" dxfId="7" priority="94" operator="containsText" text="Closed">
      <formula>NOT(ISERROR(SEARCH(("Closed"),(I233))))</formula>
    </cfRule>
  </conditionalFormatting>
  <conditionalFormatting sqref="I237">
    <cfRule type="containsText" dxfId="1" priority="95" operator="containsText" text="Open">
      <formula>NOT(ISERROR(SEARCH(("Open"),(I237))))</formula>
    </cfRule>
  </conditionalFormatting>
  <conditionalFormatting sqref="I237">
    <cfRule type="containsText" dxfId="7" priority="96" operator="containsText" text="Closed">
      <formula>NOT(ISERROR(SEARCH(("Closed"),(I237))))</formula>
    </cfRule>
  </conditionalFormatting>
  <conditionalFormatting sqref="I238:I241">
    <cfRule type="containsText" dxfId="1" priority="97" operator="containsText" text="Open">
      <formula>NOT(ISERROR(SEARCH(("Open"),(I238))))</formula>
    </cfRule>
  </conditionalFormatting>
  <conditionalFormatting sqref="I238:I241">
    <cfRule type="containsText" dxfId="7" priority="98" operator="containsText" text="Closed">
      <formula>NOT(ISERROR(SEARCH(("Closed"),(I238))))</formula>
    </cfRule>
  </conditionalFormatting>
  <conditionalFormatting sqref="B240">
    <cfRule type="containsText" dxfId="1" priority="99" operator="containsText" text="Open">
      <formula>NOT(ISERROR(SEARCH(("Open"),(B240))))</formula>
    </cfRule>
  </conditionalFormatting>
  <conditionalFormatting sqref="J240">
    <cfRule type="containsText" dxfId="1" priority="100" operator="containsText" text="Open">
      <formula>NOT(ISERROR(SEARCH(("Open"),(J240))))</formula>
    </cfRule>
  </conditionalFormatting>
  <conditionalFormatting sqref="I243">
    <cfRule type="containsText" dxfId="1" priority="101" operator="containsText" text="Open">
      <formula>NOT(ISERROR(SEARCH(("Open"),(I243))))</formula>
    </cfRule>
  </conditionalFormatting>
  <conditionalFormatting sqref="I243">
    <cfRule type="containsText" dxfId="7" priority="102" operator="containsText" text="Closed">
      <formula>NOT(ISERROR(SEARCH(("Closed"),(I243))))</formula>
    </cfRule>
  </conditionalFormatting>
  <conditionalFormatting sqref="I244">
    <cfRule type="containsText" dxfId="1" priority="103" operator="containsText" text="Open">
      <formula>NOT(ISERROR(SEARCH(("Open"),(I244))))</formula>
    </cfRule>
  </conditionalFormatting>
  <conditionalFormatting sqref="I244">
    <cfRule type="containsText" dxfId="7" priority="104" operator="containsText" text="Closed">
      <formula>NOT(ISERROR(SEARCH(("Closed"),(I244))))</formula>
    </cfRule>
  </conditionalFormatting>
  <conditionalFormatting sqref="I248">
    <cfRule type="containsText" dxfId="1" priority="105" operator="containsText" text="Open">
      <formula>NOT(ISERROR(SEARCH(("Open"),(I248))))</formula>
    </cfRule>
  </conditionalFormatting>
  <conditionalFormatting sqref="I248">
    <cfRule type="containsText" dxfId="7" priority="106" operator="containsText" text="Closed">
      <formula>NOT(ISERROR(SEARCH(("Closed"),(I248))))</formula>
    </cfRule>
  </conditionalFormatting>
  <conditionalFormatting sqref="I249">
    <cfRule type="containsText" dxfId="1" priority="107" operator="containsText" text="Open">
      <formula>NOT(ISERROR(SEARCH(("Open"),(I249))))</formula>
    </cfRule>
  </conditionalFormatting>
  <conditionalFormatting sqref="I249">
    <cfRule type="containsText" dxfId="7" priority="108" operator="containsText" text="Closed">
      <formula>NOT(ISERROR(SEARCH(("Closed"),(I249))))</formula>
    </cfRule>
  </conditionalFormatting>
  <conditionalFormatting sqref="I250:I253">
    <cfRule type="containsText" dxfId="1" priority="109" operator="containsText" text="Open">
      <formula>NOT(ISERROR(SEARCH(("Open"),(I250))))</formula>
    </cfRule>
  </conditionalFormatting>
  <conditionalFormatting sqref="I250:I253">
    <cfRule type="containsText" dxfId="7" priority="110" operator="containsText" text="Closed">
      <formula>NOT(ISERROR(SEARCH(("Closed"),(I250))))</formula>
    </cfRule>
  </conditionalFormatting>
  <conditionalFormatting sqref="I254">
    <cfRule type="containsText" dxfId="1" priority="111" operator="containsText" text="Open">
      <formula>NOT(ISERROR(SEARCH(("Open"),(I254))))</formula>
    </cfRule>
  </conditionalFormatting>
  <conditionalFormatting sqref="I254">
    <cfRule type="containsText" dxfId="7" priority="112" operator="containsText" text="Closed">
      <formula>NOT(ISERROR(SEARCH(("Closed"),(I254))))</formula>
    </cfRule>
  </conditionalFormatting>
  <conditionalFormatting sqref="I255">
    <cfRule type="containsText" dxfId="1" priority="113" operator="containsText" text="Open">
      <formula>NOT(ISERROR(SEARCH(("Open"),(I255))))</formula>
    </cfRule>
  </conditionalFormatting>
  <conditionalFormatting sqref="I255">
    <cfRule type="containsText" dxfId="7" priority="114" operator="containsText" text="Closed">
      <formula>NOT(ISERROR(SEARCH(("Closed"),(I255))))</formula>
    </cfRule>
  </conditionalFormatting>
  <conditionalFormatting sqref="I256">
    <cfRule type="containsText" dxfId="1" priority="115" operator="containsText" text="Open">
      <formula>NOT(ISERROR(SEARCH(("Open"),(I256))))</formula>
    </cfRule>
  </conditionalFormatting>
  <conditionalFormatting sqref="I256">
    <cfRule type="containsText" dxfId="7" priority="116" operator="containsText" text="Closed">
      <formula>NOT(ISERROR(SEARCH(("Closed"),(I256))))</formula>
    </cfRule>
  </conditionalFormatting>
  <conditionalFormatting sqref="I258">
    <cfRule type="containsText" dxfId="1" priority="117" operator="containsText" text="Open">
      <formula>NOT(ISERROR(SEARCH(("Open"),(I258))))</formula>
    </cfRule>
  </conditionalFormatting>
  <conditionalFormatting sqref="I258">
    <cfRule type="containsText" dxfId="7" priority="118" operator="containsText" text="Closed">
      <formula>NOT(ISERROR(SEARCH(("Closed"),(I258))))</formula>
    </cfRule>
  </conditionalFormatting>
  <conditionalFormatting sqref="I259">
    <cfRule type="containsText" dxfId="1" priority="119" operator="containsText" text="Open">
      <formula>NOT(ISERROR(SEARCH(("Open"),(I259))))</formula>
    </cfRule>
  </conditionalFormatting>
  <conditionalFormatting sqref="I259">
    <cfRule type="containsText" dxfId="7" priority="120" operator="containsText" text="Closed">
      <formula>NOT(ISERROR(SEARCH(("Closed"),(I259))))</formula>
    </cfRule>
  </conditionalFormatting>
  <conditionalFormatting sqref="I260">
    <cfRule type="containsText" dxfId="1" priority="121" operator="containsText" text="Open">
      <formula>NOT(ISERROR(SEARCH(("Open"),(I260))))</formula>
    </cfRule>
  </conditionalFormatting>
  <conditionalFormatting sqref="I260">
    <cfRule type="containsText" dxfId="7" priority="122" operator="containsText" text="Closed">
      <formula>NOT(ISERROR(SEARCH(("Closed"),(I260))))</formula>
    </cfRule>
  </conditionalFormatting>
  <conditionalFormatting sqref="I261">
    <cfRule type="containsText" dxfId="1" priority="123" operator="containsText" text="Open">
      <formula>NOT(ISERROR(SEARCH(("Open"),(I261))))</formula>
    </cfRule>
  </conditionalFormatting>
  <conditionalFormatting sqref="I261">
    <cfRule type="containsText" dxfId="7" priority="124" operator="containsText" text="Closed">
      <formula>NOT(ISERROR(SEARCH(("Closed"),(I261))))</formula>
    </cfRule>
  </conditionalFormatting>
  <conditionalFormatting sqref="I262">
    <cfRule type="containsText" dxfId="1" priority="125" operator="containsText" text="Open">
      <formula>NOT(ISERROR(SEARCH(("Open"),(I262))))</formula>
    </cfRule>
  </conditionalFormatting>
  <conditionalFormatting sqref="I262">
    <cfRule type="containsText" dxfId="7" priority="126" operator="containsText" text="Closed">
      <formula>NOT(ISERROR(SEARCH(("Closed"),(I262))))</formula>
    </cfRule>
  </conditionalFormatting>
  <conditionalFormatting sqref="I264:I265">
    <cfRule type="containsText" dxfId="1" priority="127" operator="containsText" text="Open">
      <formula>NOT(ISERROR(SEARCH(("Open"),(I264))))</formula>
    </cfRule>
  </conditionalFormatting>
  <conditionalFormatting sqref="I264:I265">
    <cfRule type="containsText" dxfId="7" priority="128" operator="containsText" text="Closed">
      <formula>NOT(ISERROR(SEARCH(("Closed"),(I264))))</formula>
    </cfRule>
  </conditionalFormatting>
  <conditionalFormatting sqref="I268:I271">
    <cfRule type="containsText" dxfId="1" priority="129" operator="containsText" text="Open">
      <formula>NOT(ISERROR(SEARCH(("Open"),(I268))))</formula>
    </cfRule>
  </conditionalFormatting>
  <conditionalFormatting sqref="I268:I271">
    <cfRule type="containsText" dxfId="7" priority="130" operator="containsText" text="Closed">
      <formula>NOT(ISERROR(SEARCH(("Closed"),(I268))))</formula>
    </cfRule>
  </conditionalFormatting>
  <conditionalFormatting sqref="I275:I276">
    <cfRule type="containsText" dxfId="1" priority="131" operator="containsText" text="Open">
      <formula>NOT(ISERROR(SEARCH(("Open"),(I275))))</formula>
    </cfRule>
  </conditionalFormatting>
  <conditionalFormatting sqref="I275:I276">
    <cfRule type="containsText" dxfId="7" priority="132" operator="containsText" text="Closed">
      <formula>NOT(ISERROR(SEARCH(("Closed"),(I275))))</formula>
    </cfRule>
  </conditionalFormatting>
  <conditionalFormatting sqref="I279">
    <cfRule type="containsText" dxfId="1" priority="133" operator="containsText" text="Open">
      <formula>NOT(ISERROR(SEARCH(("Open"),(I279))))</formula>
    </cfRule>
  </conditionalFormatting>
  <conditionalFormatting sqref="I279">
    <cfRule type="containsText" dxfId="7" priority="134" operator="containsText" text="Closed">
      <formula>NOT(ISERROR(SEARCH(("Closed"),(I279))))</formula>
    </cfRule>
  </conditionalFormatting>
  <conditionalFormatting sqref="I280">
    <cfRule type="containsText" dxfId="1" priority="135" operator="containsText" text="Open">
      <formula>NOT(ISERROR(SEARCH(("Open"),(I280))))</formula>
    </cfRule>
  </conditionalFormatting>
  <conditionalFormatting sqref="I280">
    <cfRule type="containsText" dxfId="7" priority="136" operator="containsText" text="Closed">
      <formula>NOT(ISERROR(SEARCH(("Closed"),(I280))))</formula>
    </cfRule>
  </conditionalFormatting>
  <conditionalFormatting sqref="I281">
    <cfRule type="containsText" dxfId="1" priority="137" operator="containsText" text="Open">
      <formula>NOT(ISERROR(SEARCH(("Open"),(I281))))</formula>
    </cfRule>
  </conditionalFormatting>
  <conditionalFormatting sqref="I281">
    <cfRule type="containsText" dxfId="7" priority="138" operator="containsText" text="Closed">
      <formula>NOT(ISERROR(SEARCH(("Closed"),(I281))))</formula>
    </cfRule>
  </conditionalFormatting>
  <conditionalFormatting sqref="I283">
    <cfRule type="containsText" dxfId="1" priority="139" operator="containsText" text="Open">
      <formula>NOT(ISERROR(SEARCH(("Open"),(I283))))</formula>
    </cfRule>
  </conditionalFormatting>
  <conditionalFormatting sqref="I283">
    <cfRule type="containsText" dxfId="7" priority="140" operator="containsText" text="Closed">
      <formula>NOT(ISERROR(SEARCH(("Closed"),(I283))))</formula>
    </cfRule>
  </conditionalFormatting>
  <conditionalFormatting sqref="I282">
    <cfRule type="containsText" dxfId="1" priority="141" operator="containsText" text="Open">
      <formula>NOT(ISERROR(SEARCH(("Open"),(I282))))</formula>
    </cfRule>
  </conditionalFormatting>
  <conditionalFormatting sqref="I282">
    <cfRule type="containsText" dxfId="7" priority="142" operator="containsText" text="Closed">
      <formula>NOT(ISERROR(SEARCH(("Closed"),(I282))))</formula>
    </cfRule>
  </conditionalFormatting>
  <conditionalFormatting sqref="I284:I285">
    <cfRule type="containsText" dxfId="1" priority="143" operator="containsText" text="Open">
      <formula>NOT(ISERROR(SEARCH(("Open"),(I284))))</formula>
    </cfRule>
  </conditionalFormatting>
  <conditionalFormatting sqref="I284:I285">
    <cfRule type="containsText" dxfId="7" priority="144" operator="containsText" text="Closed">
      <formula>NOT(ISERROR(SEARCH(("Closed"),(I284))))</formula>
    </cfRule>
  </conditionalFormatting>
  <conditionalFormatting sqref="I286">
    <cfRule type="containsText" dxfId="1" priority="145" operator="containsText" text="Open">
      <formula>NOT(ISERROR(SEARCH(("Open"),(I286))))</formula>
    </cfRule>
  </conditionalFormatting>
  <conditionalFormatting sqref="I286">
    <cfRule type="containsText" dxfId="7" priority="146" operator="containsText" text="Closed">
      <formula>NOT(ISERROR(SEARCH(("Closed"),(I286))))</formula>
    </cfRule>
  </conditionalFormatting>
  <conditionalFormatting sqref="I287">
    <cfRule type="containsText" dxfId="1" priority="147" operator="containsText" text="Open">
      <formula>NOT(ISERROR(SEARCH(("Open"),(I287))))</formula>
    </cfRule>
  </conditionalFormatting>
  <conditionalFormatting sqref="I287">
    <cfRule type="containsText" dxfId="7" priority="148" operator="containsText" text="Closed">
      <formula>NOT(ISERROR(SEARCH(("Closed"),(I287))))</formula>
    </cfRule>
  </conditionalFormatting>
  <conditionalFormatting sqref="I291">
    <cfRule type="containsText" dxfId="1" priority="149" operator="containsText" text="Open">
      <formula>NOT(ISERROR(SEARCH(("Open"),(I291))))</formula>
    </cfRule>
  </conditionalFormatting>
  <conditionalFormatting sqref="I291">
    <cfRule type="containsText" dxfId="7" priority="150" operator="containsText" text="Closed">
      <formula>NOT(ISERROR(SEARCH(("Closed"),(I291))))</formula>
    </cfRule>
  </conditionalFormatting>
  <conditionalFormatting sqref="I293">
    <cfRule type="containsText" dxfId="1" priority="151" operator="containsText" text="Open">
      <formula>NOT(ISERROR(SEARCH(("Open"),(I293))))</formula>
    </cfRule>
  </conditionalFormatting>
  <conditionalFormatting sqref="I293">
    <cfRule type="containsText" dxfId="7" priority="152" operator="containsText" text="Closed">
      <formula>NOT(ISERROR(SEARCH(("Closed"),(I293))))</formula>
    </cfRule>
  </conditionalFormatting>
  <conditionalFormatting sqref="I294">
    <cfRule type="containsText" dxfId="1" priority="153" operator="containsText" text="Open">
      <formula>NOT(ISERROR(SEARCH(("Open"),(I294))))</formula>
    </cfRule>
  </conditionalFormatting>
  <conditionalFormatting sqref="I294">
    <cfRule type="containsText" dxfId="7" priority="154" operator="containsText" text="Closed">
      <formula>NOT(ISERROR(SEARCH(("Closed"),(I294))))</formula>
    </cfRule>
  </conditionalFormatting>
  <conditionalFormatting sqref="I295">
    <cfRule type="containsText" dxfId="1" priority="155" operator="containsText" text="Open">
      <formula>NOT(ISERROR(SEARCH(("Open"),(I295))))</formula>
    </cfRule>
  </conditionalFormatting>
  <conditionalFormatting sqref="I295">
    <cfRule type="containsText" dxfId="7" priority="156" operator="containsText" text="Closed">
      <formula>NOT(ISERROR(SEARCH(("Closed"),(I295))))</formula>
    </cfRule>
  </conditionalFormatting>
  <conditionalFormatting sqref="I296">
    <cfRule type="containsText" dxfId="1" priority="157" operator="containsText" text="Open">
      <formula>NOT(ISERROR(SEARCH(("Open"),(I296))))</formula>
    </cfRule>
  </conditionalFormatting>
  <conditionalFormatting sqref="I296">
    <cfRule type="containsText" dxfId="7" priority="158" operator="containsText" text="Closed">
      <formula>NOT(ISERROR(SEARCH(("Closed"),(I296))))</formula>
    </cfRule>
  </conditionalFormatting>
  <conditionalFormatting sqref="I297:I299">
    <cfRule type="containsText" dxfId="1" priority="159" operator="containsText" text="Open">
      <formula>NOT(ISERROR(SEARCH(("Open"),(I297))))</formula>
    </cfRule>
  </conditionalFormatting>
  <conditionalFormatting sqref="I297:I299">
    <cfRule type="containsText" dxfId="7" priority="160" operator="containsText" text="Closed">
      <formula>NOT(ISERROR(SEARCH(("Closed"),(I297))))</formula>
    </cfRule>
  </conditionalFormatting>
  <conditionalFormatting sqref="I301">
    <cfRule type="containsText" dxfId="1" priority="161" operator="containsText" text="Open">
      <formula>NOT(ISERROR(SEARCH(("Open"),(I301))))</formula>
    </cfRule>
  </conditionalFormatting>
  <conditionalFormatting sqref="I301">
    <cfRule type="containsText" dxfId="7" priority="162" operator="containsText" text="Closed">
      <formula>NOT(ISERROR(SEARCH(("Closed"),(I301))))</formula>
    </cfRule>
  </conditionalFormatting>
  <conditionalFormatting sqref="I8">
    <cfRule type="containsText" dxfId="1" priority="163" operator="containsText" text="Open">
      <formula>NOT(ISERROR(SEARCH(("Open"),(I8))))</formula>
    </cfRule>
  </conditionalFormatting>
  <conditionalFormatting sqref="I8">
    <cfRule type="containsText" dxfId="7" priority="164" operator="containsText" text="Closed">
      <formula>NOT(ISERROR(SEARCH(("Closed"),(I8))))</formula>
    </cfRule>
  </conditionalFormatting>
  <conditionalFormatting sqref="I9:I10">
    <cfRule type="containsText" dxfId="1" priority="165" operator="containsText" text="Open">
      <formula>NOT(ISERROR(SEARCH(("Open"),(I9))))</formula>
    </cfRule>
  </conditionalFormatting>
  <conditionalFormatting sqref="I9:I10">
    <cfRule type="containsText" dxfId="7" priority="166" operator="containsText" text="Closed">
      <formula>NOT(ISERROR(SEARCH(("Closed"),(I9))))</formula>
    </cfRule>
  </conditionalFormatting>
  <conditionalFormatting sqref="I11">
    <cfRule type="containsText" dxfId="1" priority="167" operator="containsText" text="Open">
      <formula>NOT(ISERROR(SEARCH(("Open"),(I11))))</formula>
    </cfRule>
  </conditionalFormatting>
  <conditionalFormatting sqref="I11">
    <cfRule type="containsText" dxfId="7" priority="168" operator="containsText" text="Closed">
      <formula>NOT(ISERROR(SEARCH(("Closed"),(I11))))</formula>
    </cfRule>
  </conditionalFormatting>
  <conditionalFormatting sqref="I12">
    <cfRule type="containsText" dxfId="1" priority="169" operator="containsText" text="Open">
      <formula>NOT(ISERROR(SEARCH(("Open"),(I12))))</formula>
    </cfRule>
  </conditionalFormatting>
  <conditionalFormatting sqref="I12">
    <cfRule type="containsText" dxfId="7" priority="170" operator="containsText" text="Closed">
      <formula>NOT(ISERROR(SEARCH(("Closed"),(I12))))</formula>
    </cfRule>
  </conditionalFormatting>
  <conditionalFormatting sqref="I13">
    <cfRule type="containsText" dxfId="1" priority="171" operator="containsText" text="Open">
      <formula>NOT(ISERROR(SEARCH(("Open"),(I13))))</formula>
    </cfRule>
  </conditionalFormatting>
  <conditionalFormatting sqref="I13">
    <cfRule type="containsText" dxfId="7" priority="172" operator="containsText" text="Closed">
      <formula>NOT(ISERROR(SEARCH(("Closed"),(I13))))</formula>
    </cfRule>
  </conditionalFormatting>
  <conditionalFormatting sqref="I14">
    <cfRule type="containsText" dxfId="1" priority="173" operator="containsText" text="Open">
      <formula>NOT(ISERROR(SEARCH(("Open"),(I14))))</formula>
    </cfRule>
  </conditionalFormatting>
  <conditionalFormatting sqref="I14">
    <cfRule type="containsText" dxfId="7" priority="174" operator="containsText" text="Closed">
      <formula>NOT(ISERROR(SEARCH(("Closed"),(I14))))</formula>
    </cfRule>
  </conditionalFormatting>
  <conditionalFormatting sqref="I17">
    <cfRule type="containsText" dxfId="1" priority="175" operator="containsText" text="Open">
      <formula>NOT(ISERROR(SEARCH(("Open"),(I17))))</formula>
    </cfRule>
  </conditionalFormatting>
  <conditionalFormatting sqref="I17">
    <cfRule type="containsText" dxfId="7" priority="176" operator="containsText" text="Closed">
      <formula>NOT(ISERROR(SEARCH(("Closed"),(I17))))</formula>
    </cfRule>
  </conditionalFormatting>
  <conditionalFormatting sqref="I16">
    <cfRule type="containsText" dxfId="1" priority="177" operator="containsText" text="Open">
      <formula>NOT(ISERROR(SEARCH(("Open"),(I16))))</formula>
    </cfRule>
  </conditionalFormatting>
  <conditionalFormatting sqref="I16">
    <cfRule type="containsText" dxfId="7" priority="178" operator="containsText" text="Closed">
      <formula>NOT(ISERROR(SEARCH(("Closed"),(I16))))</formula>
    </cfRule>
  </conditionalFormatting>
  <conditionalFormatting sqref="I18">
    <cfRule type="containsText" dxfId="1" priority="179" operator="containsText" text="Open">
      <formula>NOT(ISERROR(SEARCH(("Open"),(I18))))</formula>
    </cfRule>
  </conditionalFormatting>
  <conditionalFormatting sqref="I18">
    <cfRule type="containsText" dxfId="7" priority="180" operator="containsText" text="Closed">
      <formula>NOT(ISERROR(SEARCH(("Closed"),(I18))))</formula>
    </cfRule>
  </conditionalFormatting>
  <conditionalFormatting sqref="I19">
    <cfRule type="containsText" dxfId="1" priority="181" operator="containsText" text="Open">
      <formula>NOT(ISERROR(SEARCH(("Open"),(I19))))</formula>
    </cfRule>
  </conditionalFormatting>
  <conditionalFormatting sqref="I19">
    <cfRule type="containsText" dxfId="7" priority="182" operator="containsText" text="Closed">
      <formula>NOT(ISERROR(SEARCH(("Closed"),(I19))))</formula>
    </cfRule>
  </conditionalFormatting>
  <conditionalFormatting sqref="I26:I27">
    <cfRule type="containsText" dxfId="1" priority="183" operator="containsText" text="Open">
      <formula>NOT(ISERROR(SEARCH(("Open"),(I26))))</formula>
    </cfRule>
  </conditionalFormatting>
  <conditionalFormatting sqref="I26:I27">
    <cfRule type="containsText" dxfId="7" priority="184" operator="containsText" text="Closed">
      <formula>NOT(ISERROR(SEARCH(("Closed"),(I26))))</formula>
    </cfRule>
  </conditionalFormatting>
  <conditionalFormatting sqref="I28">
    <cfRule type="containsText" dxfId="1" priority="185" operator="containsText" text="Open">
      <formula>NOT(ISERROR(SEARCH(("Open"),(I28))))</formula>
    </cfRule>
  </conditionalFormatting>
  <conditionalFormatting sqref="I28">
    <cfRule type="containsText" dxfId="7" priority="186" operator="containsText" text="Closed">
      <formula>NOT(ISERROR(SEARCH(("Closed"),(I28))))</formula>
    </cfRule>
  </conditionalFormatting>
  <conditionalFormatting sqref="I29:I30">
    <cfRule type="containsText" dxfId="1" priority="187" operator="containsText" text="Open">
      <formula>NOT(ISERROR(SEARCH(("Open"),(I29))))</formula>
    </cfRule>
  </conditionalFormatting>
  <conditionalFormatting sqref="I29:I30">
    <cfRule type="containsText" dxfId="7" priority="188" operator="containsText" text="Closed">
      <formula>NOT(ISERROR(SEARCH(("Closed"),(I29))))</formula>
    </cfRule>
  </conditionalFormatting>
  <conditionalFormatting sqref="I31">
    <cfRule type="containsText" dxfId="1" priority="189" operator="containsText" text="Open">
      <formula>NOT(ISERROR(SEARCH(("Open"),(I31))))</formula>
    </cfRule>
  </conditionalFormatting>
  <conditionalFormatting sqref="I31">
    <cfRule type="containsText" dxfId="7" priority="190" operator="containsText" text="Closed">
      <formula>NOT(ISERROR(SEARCH(("Closed"),(I31))))</formula>
    </cfRule>
  </conditionalFormatting>
  <conditionalFormatting sqref="I32">
    <cfRule type="containsText" dxfId="1" priority="191" operator="containsText" text="Open">
      <formula>NOT(ISERROR(SEARCH(("Open"),(I32))))</formula>
    </cfRule>
  </conditionalFormatting>
  <conditionalFormatting sqref="I32">
    <cfRule type="containsText" dxfId="7" priority="192" operator="containsText" text="Closed">
      <formula>NOT(ISERROR(SEARCH(("Closed"),(I32))))</formula>
    </cfRule>
  </conditionalFormatting>
  <conditionalFormatting sqref="I33">
    <cfRule type="containsText" dxfId="1" priority="193" operator="containsText" text="Open">
      <formula>NOT(ISERROR(SEARCH(("Open"),(I33))))</formula>
    </cfRule>
  </conditionalFormatting>
  <conditionalFormatting sqref="I33">
    <cfRule type="containsText" dxfId="7" priority="194" operator="containsText" text="Closed">
      <formula>NOT(ISERROR(SEARCH(("Closed"),(I33))))</formula>
    </cfRule>
  </conditionalFormatting>
  <conditionalFormatting sqref="I34">
    <cfRule type="containsText" dxfId="1" priority="195" operator="containsText" text="Open">
      <formula>NOT(ISERROR(SEARCH(("Open"),(I34))))</formula>
    </cfRule>
  </conditionalFormatting>
  <conditionalFormatting sqref="I34">
    <cfRule type="containsText" dxfId="7" priority="196" operator="containsText" text="Closed">
      <formula>NOT(ISERROR(SEARCH(("Closed"),(I34))))</formula>
    </cfRule>
  </conditionalFormatting>
  <conditionalFormatting sqref="I37:I39">
    <cfRule type="containsText" dxfId="1" priority="197" operator="containsText" text="Open">
      <formula>NOT(ISERROR(SEARCH(("Open"),(I37))))</formula>
    </cfRule>
  </conditionalFormatting>
  <conditionalFormatting sqref="I37:I39">
    <cfRule type="containsText" dxfId="7" priority="198" operator="containsText" text="Closed">
      <formula>NOT(ISERROR(SEARCH(("Closed"),(I37))))</formula>
    </cfRule>
  </conditionalFormatting>
  <conditionalFormatting sqref="I40:I44">
    <cfRule type="containsText" dxfId="1" priority="199" operator="containsText" text="Open">
      <formula>NOT(ISERROR(SEARCH(("Open"),(I40))))</formula>
    </cfRule>
  </conditionalFormatting>
  <conditionalFormatting sqref="I40:I44">
    <cfRule type="containsText" dxfId="7" priority="200" operator="containsText" text="Closed">
      <formula>NOT(ISERROR(SEARCH(("Closed"),(I40))))</formula>
    </cfRule>
  </conditionalFormatting>
  <conditionalFormatting sqref="I45">
    <cfRule type="containsText" dxfId="1" priority="201" operator="containsText" text="Open">
      <formula>NOT(ISERROR(SEARCH(("Open"),(I45))))</formula>
    </cfRule>
  </conditionalFormatting>
  <conditionalFormatting sqref="I45">
    <cfRule type="containsText" dxfId="7" priority="202" operator="containsText" text="Closed">
      <formula>NOT(ISERROR(SEARCH(("Closed"),(I45))))</formula>
    </cfRule>
  </conditionalFormatting>
  <conditionalFormatting sqref="I46:I49">
    <cfRule type="containsText" dxfId="1" priority="203" operator="containsText" text="Open">
      <formula>NOT(ISERROR(SEARCH(("Open"),(I46))))</formula>
    </cfRule>
  </conditionalFormatting>
  <conditionalFormatting sqref="I46:I49">
    <cfRule type="containsText" dxfId="7" priority="204" operator="containsText" text="Closed">
      <formula>NOT(ISERROR(SEARCH(("Closed"),(I46))))</formula>
    </cfRule>
  </conditionalFormatting>
  <conditionalFormatting sqref="I50:I55">
    <cfRule type="containsText" dxfId="1" priority="205" operator="containsText" text="Open">
      <formula>NOT(ISERROR(SEARCH(("Open"),(I50))))</formula>
    </cfRule>
  </conditionalFormatting>
  <conditionalFormatting sqref="I50:I55">
    <cfRule type="containsText" dxfId="7" priority="206" operator="containsText" text="Closed">
      <formula>NOT(ISERROR(SEARCH(("Closed"),(I50))))</formula>
    </cfRule>
  </conditionalFormatting>
  <conditionalFormatting sqref="I66:I68">
    <cfRule type="containsText" dxfId="1" priority="207" operator="containsText" text="Open">
      <formula>NOT(ISERROR(SEARCH(("Open"),(I66))))</formula>
    </cfRule>
  </conditionalFormatting>
  <conditionalFormatting sqref="I66:I68">
    <cfRule type="containsText" dxfId="7" priority="208" operator="containsText" text="Closed">
      <formula>NOT(ISERROR(SEARCH(("Closed"),(I66))))</formula>
    </cfRule>
  </conditionalFormatting>
  <conditionalFormatting sqref="I66:I68">
    <cfRule type="containsText" dxfId="1" priority="209" operator="containsText" text="Open">
      <formula>NOT(ISERROR(SEARCH(("Open"),(I66))))</formula>
    </cfRule>
  </conditionalFormatting>
  <conditionalFormatting sqref="I66:I68">
    <cfRule type="containsText" dxfId="7" priority="210" operator="containsText" text="Closed">
      <formula>NOT(ISERROR(SEARCH(("Closed"),(I66))))</formula>
    </cfRule>
  </conditionalFormatting>
  <conditionalFormatting sqref="I69:I71">
    <cfRule type="containsText" dxfId="1" priority="211" operator="containsText" text="Open">
      <formula>NOT(ISERROR(SEARCH(("Open"),(I69))))</formula>
    </cfRule>
  </conditionalFormatting>
  <conditionalFormatting sqref="I69:I71">
    <cfRule type="containsText" dxfId="7" priority="212" operator="containsText" text="Closed">
      <formula>NOT(ISERROR(SEARCH(("Closed"),(I69))))</formula>
    </cfRule>
  </conditionalFormatting>
  <conditionalFormatting sqref="I69:I71">
    <cfRule type="containsText" dxfId="1" priority="213" operator="containsText" text="Open">
      <formula>NOT(ISERROR(SEARCH(("Open"),(I69))))</formula>
    </cfRule>
  </conditionalFormatting>
  <conditionalFormatting sqref="I69:I71">
    <cfRule type="containsText" dxfId="7" priority="214" operator="containsText" text="Closed">
      <formula>NOT(ISERROR(SEARCH(("Closed"),(I69))))</formula>
    </cfRule>
  </conditionalFormatting>
  <conditionalFormatting sqref="I72:I75">
    <cfRule type="containsText" dxfId="1" priority="215" operator="containsText" text="Open">
      <formula>NOT(ISERROR(SEARCH(("Open"),(I72))))</formula>
    </cfRule>
  </conditionalFormatting>
  <conditionalFormatting sqref="I72:I75">
    <cfRule type="containsText" dxfId="7" priority="216" operator="containsText" text="Closed">
      <formula>NOT(ISERROR(SEARCH(("Closed"),(I72))))</formula>
    </cfRule>
  </conditionalFormatting>
  <conditionalFormatting sqref="I72:I75">
    <cfRule type="containsText" dxfId="1" priority="217" operator="containsText" text="Open">
      <formula>NOT(ISERROR(SEARCH(("Open"),(I72))))</formula>
    </cfRule>
  </conditionalFormatting>
  <conditionalFormatting sqref="I72:I75">
    <cfRule type="containsText" dxfId="7" priority="218" operator="containsText" text="Closed">
      <formula>NOT(ISERROR(SEARCH(("Closed"),(I72))))</formula>
    </cfRule>
  </conditionalFormatting>
  <conditionalFormatting sqref="I76">
    <cfRule type="containsText" dxfId="1" priority="219" operator="containsText" text="Open">
      <formula>NOT(ISERROR(SEARCH(("Open"),(I76))))</formula>
    </cfRule>
  </conditionalFormatting>
  <conditionalFormatting sqref="I76">
    <cfRule type="containsText" dxfId="7" priority="220" operator="containsText" text="Closed">
      <formula>NOT(ISERROR(SEARCH(("Closed"),(I76))))</formula>
    </cfRule>
  </conditionalFormatting>
  <conditionalFormatting sqref="I76">
    <cfRule type="containsText" dxfId="1" priority="221" operator="containsText" text="Open">
      <formula>NOT(ISERROR(SEARCH(("Open"),(I76))))</formula>
    </cfRule>
  </conditionalFormatting>
  <conditionalFormatting sqref="I76">
    <cfRule type="containsText" dxfId="7" priority="222" operator="containsText" text="Closed">
      <formula>NOT(ISERROR(SEARCH(("Closed"),(I76))))</formula>
    </cfRule>
  </conditionalFormatting>
  <conditionalFormatting sqref="I77:I78">
    <cfRule type="containsText" dxfId="1" priority="223" operator="containsText" text="Open">
      <formula>NOT(ISERROR(SEARCH(("Open"),(I77))))</formula>
    </cfRule>
  </conditionalFormatting>
  <conditionalFormatting sqref="I77:I78">
    <cfRule type="containsText" dxfId="7" priority="224" operator="containsText" text="Closed">
      <formula>NOT(ISERROR(SEARCH(("Closed"),(I77))))</formula>
    </cfRule>
  </conditionalFormatting>
  <conditionalFormatting sqref="I77:I78">
    <cfRule type="containsText" dxfId="1" priority="225" operator="containsText" text="Open">
      <formula>NOT(ISERROR(SEARCH(("Open"),(I77))))</formula>
    </cfRule>
  </conditionalFormatting>
  <conditionalFormatting sqref="I77:I78">
    <cfRule type="containsText" dxfId="7" priority="226" operator="containsText" text="Closed">
      <formula>NOT(ISERROR(SEARCH(("Closed"),(I77))))</formula>
    </cfRule>
  </conditionalFormatting>
  <conditionalFormatting sqref="I79:I80">
    <cfRule type="containsText" dxfId="1" priority="227" operator="containsText" text="Open">
      <formula>NOT(ISERROR(SEARCH(("Open"),(I79))))</formula>
    </cfRule>
  </conditionalFormatting>
  <conditionalFormatting sqref="I79:I80">
    <cfRule type="containsText" dxfId="7" priority="228" operator="containsText" text="Closed">
      <formula>NOT(ISERROR(SEARCH(("Closed"),(I79))))</formula>
    </cfRule>
  </conditionalFormatting>
  <conditionalFormatting sqref="I79:I80">
    <cfRule type="containsText" dxfId="1" priority="229" operator="containsText" text="Open">
      <formula>NOT(ISERROR(SEARCH(("Open"),(I79))))</formula>
    </cfRule>
  </conditionalFormatting>
  <conditionalFormatting sqref="I79:I80">
    <cfRule type="containsText" dxfId="7" priority="230" operator="containsText" text="Closed">
      <formula>NOT(ISERROR(SEARCH(("Closed"),(I79))))</formula>
    </cfRule>
  </conditionalFormatting>
  <conditionalFormatting sqref="I81:I82">
    <cfRule type="containsText" dxfId="1" priority="231" operator="containsText" text="Open">
      <formula>NOT(ISERROR(SEARCH(("Open"),(I81))))</formula>
    </cfRule>
  </conditionalFormatting>
  <conditionalFormatting sqref="I81:I82">
    <cfRule type="containsText" dxfId="7" priority="232" operator="containsText" text="Closed">
      <formula>NOT(ISERROR(SEARCH(("Closed"),(I81))))</formula>
    </cfRule>
  </conditionalFormatting>
  <conditionalFormatting sqref="I81:I82">
    <cfRule type="containsText" dxfId="1" priority="233" operator="containsText" text="Open">
      <formula>NOT(ISERROR(SEARCH(("Open"),(I81))))</formula>
    </cfRule>
  </conditionalFormatting>
  <conditionalFormatting sqref="I81:I82">
    <cfRule type="containsText" dxfId="7" priority="234" operator="containsText" text="Closed">
      <formula>NOT(ISERROR(SEARCH(("Closed"),(I81))))</formula>
    </cfRule>
  </conditionalFormatting>
  <conditionalFormatting sqref="I83:I84">
    <cfRule type="containsText" dxfId="1" priority="235" operator="containsText" text="Open">
      <formula>NOT(ISERROR(SEARCH(("Open"),(I83))))</formula>
    </cfRule>
  </conditionalFormatting>
  <conditionalFormatting sqref="I83:I84">
    <cfRule type="containsText" dxfId="7" priority="236" operator="containsText" text="Closed">
      <formula>NOT(ISERROR(SEARCH(("Closed"),(I83))))</formula>
    </cfRule>
  </conditionalFormatting>
  <conditionalFormatting sqref="I83:I84">
    <cfRule type="containsText" dxfId="1" priority="237" operator="containsText" text="Open">
      <formula>NOT(ISERROR(SEARCH(("Open"),(I83))))</formula>
    </cfRule>
  </conditionalFormatting>
  <conditionalFormatting sqref="I83:I84">
    <cfRule type="containsText" dxfId="7" priority="238" operator="containsText" text="Closed">
      <formula>NOT(ISERROR(SEARCH(("Closed"),(I83))))</formula>
    </cfRule>
  </conditionalFormatting>
  <conditionalFormatting sqref="I85:I86">
    <cfRule type="containsText" dxfId="1" priority="239" operator="containsText" text="Open">
      <formula>NOT(ISERROR(SEARCH(("Open"),(I85))))</formula>
    </cfRule>
  </conditionalFormatting>
  <conditionalFormatting sqref="I85:I86">
    <cfRule type="containsText" dxfId="7" priority="240" operator="containsText" text="Closed">
      <formula>NOT(ISERROR(SEARCH(("Closed"),(I85))))</formula>
    </cfRule>
  </conditionalFormatting>
  <conditionalFormatting sqref="I85:I86">
    <cfRule type="containsText" dxfId="1" priority="241" operator="containsText" text="Open">
      <formula>NOT(ISERROR(SEARCH(("Open"),(I85))))</formula>
    </cfRule>
  </conditionalFormatting>
  <conditionalFormatting sqref="I85:I86">
    <cfRule type="containsText" dxfId="7" priority="242" operator="containsText" text="Closed">
      <formula>NOT(ISERROR(SEARCH(("Closed"),(I85))))</formula>
    </cfRule>
  </conditionalFormatting>
  <conditionalFormatting sqref="I89:I92">
    <cfRule type="containsText" dxfId="1" priority="243" operator="containsText" text="Open">
      <formula>NOT(ISERROR(SEARCH(("Open"),(I89))))</formula>
    </cfRule>
  </conditionalFormatting>
  <conditionalFormatting sqref="I89:I92">
    <cfRule type="containsText" dxfId="7" priority="244" operator="containsText" text="Closed">
      <formula>NOT(ISERROR(SEARCH(("Closed"),(I89))))</formula>
    </cfRule>
  </conditionalFormatting>
  <conditionalFormatting sqref="I93:I99">
    <cfRule type="containsText" dxfId="1" priority="245" operator="containsText" text="Open">
      <formula>NOT(ISERROR(SEARCH(("Open"),(I93))))</formula>
    </cfRule>
  </conditionalFormatting>
  <conditionalFormatting sqref="I93:I99">
    <cfRule type="containsText" dxfId="7" priority="246" operator="containsText" text="Closed">
      <formula>NOT(ISERROR(SEARCH(("Closed"),(I93))))</formula>
    </cfRule>
  </conditionalFormatting>
  <conditionalFormatting sqref="I100:I103">
    <cfRule type="containsText" dxfId="1" priority="247" operator="containsText" text="Open">
      <formula>NOT(ISERROR(SEARCH(("Open"),(I100))))</formula>
    </cfRule>
  </conditionalFormatting>
  <conditionalFormatting sqref="I100:I103">
    <cfRule type="containsText" dxfId="7" priority="248" operator="containsText" text="Closed">
      <formula>NOT(ISERROR(SEARCH(("Closed"),(I100))))</formula>
    </cfRule>
  </conditionalFormatting>
  <conditionalFormatting sqref="I104">
    <cfRule type="containsText" dxfId="1" priority="249" operator="containsText" text="Open">
      <formula>NOT(ISERROR(SEARCH(("Open"),(I104))))</formula>
    </cfRule>
  </conditionalFormatting>
  <conditionalFormatting sqref="I104">
    <cfRule type="containsText" dxfId="7" priority="250" operator="containsText" text="Closed">
      <formula>NOT(ISERROR(SEARCH(("Closed"),(I104))))</formula>
    </cfRule>
  </conditionalFormatting>
  <conditionalFormatting sqref="I105:I131">
    <cfRule type="containsText" dxfId="1" priority="251" operator="containsText" text="Open">
      <formula>NOT(ISERROR(SEARCH(("Open"),(I105))))</formula>
    </cfRule>
  </conditionalFormatting>
  <conditionalFormatting sqref="I105:I131">
    <cfRule type="containsText" dxfId="7" priority="252" operator="containsText" text="Closed">
      <formula>NOT(ISERROR(SEARCH(("Closed"),(I105))))</formula>
    </cfRule>
  </conditionalFormatting>
  <conditionalFormatting sqref="I132:I134">
    <cfRule type="containsText" dxfId="1" priority="253" operator="containsText" text="Open">
      <formula>NOT(ISERROR(SEARCH(("Open"),(I132))))</formula>
    </cfRule>
  </conditionalFormatting>
  <conditionalFormatting sqref="I132:I134">
    <cfRule type="containsText" dxfId="7" priority="254" operator="containsText" text="Closed">
      <formula>NOT(ISERROR(SEARCH(("Closed"),(I132))))</formula>
    </cfRule>
  </conditionalFormatting>
  <conditionalFormatting sqref="I135:I140">
    <cfRule type="containsText" dxfId="1" priority="255" operator="containsText" text="Open">
      <formula>NOT(ISERROR(SEARCH(("Open"),(I135))))</formula>
    </cfRule>
  </conditionalFormatting>
  <conditionalFormatting sqref="I135:I140">
    <cfRule type="containsText" dxfId="7" priority="256" operator="containsText" text="Closed">
      <formula>NOT(ISERROR(SEARCH(("Closed"),(I135))))</formula>
    </cfRule>
  </conditionalFormatting>
  <conditionalFormatting sqref="I141:I142">
    <cfRule type="containsText" dxfId="1" priority="257" operator="containsText" text="Open">
      <formula>NOT(ISERROR(SEARCH(("Open"),(I141))))</formula>
    </cfRule>
  </conditionalFormatting>
  <conditionalFormatting sqref="I141:I142">
    <cfRule type="containsText" dxfId="7" priority="258" operator="containsText" text="Closed">
      <formula>NOT(ISERROR(SEARCH(("Closed"),(I141))))</formula>
    </cfRule>
  </conditionalFormatting>
  <conditionalFormatting sqref="I143">
    <cfRule type="containsText" dxfId="1" priority="259" operator="containsText" text="Open">
      <formula>NOT(ISERROR(SEARCH(("Open"),(I143))))</formula>
    </cfRule>
  </conditionalFormatting>
  <conditionalFormatting sqref="I143">
    <cfRule type="containsText" dxfId="7" priority="260" operator="containsText" text="Closed">
      <formula>NOT(ISERROR(SEARCH(("Closed"),(I143))))</formula>
    </cfRule>
  </conditionalFormatting>
  <conditionalFormatting sqref="I145:I150">
    <cfRule type="containsText" dxfId="1" priority="261" operator="containsText" text="Open">
      <formula>NOT(ISERROR(SEARCH(("Open"),(I145))))</formula>
    </cfRule>
  </conditionalFormatting>
  <conditionalFormatting sqref="I145:I150">
    <cfRule type="containsText" dxfId="7" priority="262" operator="containsText" text="Closed">
      <formula>NOT(ISERROR(SEARCH(("Closed"),(I145))))</formula>
    </cfRule>
  </conditionalFormatting>
  <conditionalFormatting sqref="I144">
    <cfRule type="containsText" dxfId="1" priority="263" operator="containsText" text="Open">
      <formula>NOT(ISERROR(SEARCH(("Open"),(I144))))</formula>
    </cfRule>
  </conditionalFormatting>
  <conditionalFormatting sqref="I144">
    <cfRule type="containsText" dxfId="7" priority="264" operator="containsText" text="Closed">
      <formula>NOT(ISERROR(SEARCH(("Closed"),(I144))))</formula>
    </cfRule>
  </conditionalFormatting>
  <conditionalFormatting sqref="I151:I154">
    <cfRule type="containsText" dxfId="1" priority="265" operator="containsText" text="Open">
      <formula>NOT(ISERROR(SEARCH(("Open"),(I151))))</formula>
    </cfRule>
  </conditionalFormatting>
  <conditionalFormatting sqref="I151:I154">
    <cfRule type="containsText" dxfId="7" priority="266" operator="containsText" text="Closed">
      <formula>NOT(ISERROR(SEARCH(("Closed"),(I151))))</formula>
    </cfRule>
  </conditionalFormatting>
  <conditionalFormatting sqref="I155:I163">
    <cfRule type="containsText" dxfId="1" priority="267" operator="containsText" text="Open">
      <formula>NOT(ISERROR(SEARCH(("Open"),(I155))))</formula>
    </cfRule>
  </conditionalFormatting>
  <conditionalFormatting sqref="I155:I163">
    <cfRule type="containsText" dxfId="7" priority="268" operator="containsText" text="Closed">
      <formula>NOT(ISERROR(SEARCH(("Closed"),(I155))))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3.38"/>
    <col customWidth="1" min="3" max="3" width="14.38"/>
    <col customWidth="1" min="4" max="4" width="15.75"/>
    <col customWidth="1" min="5" max="5" width="24.75"/>
    <col customWidth="1" min="6" max="6" width="8.75"/>
    <col customWidth="1" min="7" max="11" width="12.75"/>
    <col customWidth="1" min="12" max="26" width="14.38"/>
  </cols>
  <sheetData>
    <row r="1" ht="27.0" customHeight="1">
      <c r="A1" s="254" t="s">
        <v>932</v>
      </c>
      <c r="B1" s="3"/>
      <c r="C1" s="3"/>
      <c r="D1" s="3"/>
      <c r="E1" s="4"/>
      <c r="F1" s="21"/>
      <c r="G1" s="21"/>
      <c r="H1" s="21"/>
      <c r="I1" s="21"/>
      <c r="J1" s="21"/>
      <c r="K1" s="21"/>
    </row>
    <row r="2" ht="13.5" customHeight="1">
      <c r="A2" s="255" t="s">
        <v>933</v>
      </c>
      <c r="B2" s="255" t="s">
        <v>934</v>
      </c>
      <c r="C2" s="256" t="s">
        <v>935</v>
      </c>
      <c r="D2" s="256" t="s">
        <v>936</v>
      </c>
      <c r="E2" s="257" t="s">
        <v>937</v>
      </c>
      <c r="F2" s="21"/>
      <c r="G2" s="21"/>
      <c r="H2" s="21"/>
      <c r="I2" s="21"/>
      <c r="J2" s="21"/>
      <c r="K2" s="21"/>
    </row>
    <row r="3" ht="24.75" customHeight="1">
      <c r="A3" s="85">
        <v>1.0</v>
      </c>
      <c r="B3" s="258" t="s">
        <v>938</v>
      </c>
      <c r="C3" s="90" t="s">
        <v>939</v>
      </c>
      <c r="D3" s="92" t="s">
        <v>940</v>
      </c>
      <c r="E3" s="90" t="s">
        <v>900</v>
      </c>
      <c r="F3" s="21"/>
      <c r="G3" s="21"/>
      <c r="H3" s="21"/>
      <c r="I3" s="21"/>
      <c r="J3" s="21"/>
      <c r="K3" s="21"/>
    </row>
    <row r="4" ht="24.75" customHeight="1">
      <c r="A4" s="85">
        <v>2.0</v>
      </c>
      <c r="B4" s="258" t="s">
        <v>941</v>
      </c>
      <c r="C4" s="90" t="s">
        <v>939</v>
      </c>
      <c r="D4" s="92" t="s">
        <v>942</v>
      </c>
      <c r="E4" s="90" t="s">
        <v>900</v>
      </c>
      <c r="F4" s="21"/>
      <c r="G4" s="21"/>
      <c r="H4" s="21"/>
      <c r="I4" s="21"/>
      <c r="J4" s="21"/>
      <c r="K4" s="21"/>
    </row>
    <row r="5" ht="24.75" customHeight="1">
      <c r="A5" s="85">
        <v>3.0</v>
      </c>
      <c r="B5" s="258" t="s">
        <v>943</v>
      </c>
      <c r="C5" s="90" t="s">
        <v>939</v>
      </c>
      <c r="D5" s="90" t="s">
        <v>944</v>
      </c>
      <c r="E5" s="90" t="s">
        <v>900</v>
      </c>
      <c r="F5" s="21"/>
      <c r="G5" s="21"/>
      <c r="H5" s="21"/>
      <c r="I5" s="21"/>
      <c r="J5" s="21"/>
      <c r="K5" s="21"/>
    </row>
    <row r="6" ht="24.75" customHeight="1">
      <c r="A6" s="85">
        <v>4.0</v>
      </c>
      <c r="B6" s="258" t="s">
        <v>945</v>
      </c>
      <c r="C6" s="90" t="s">
        <v>946</v>
      </c>
      <c r="D6" s="90" t="s">
        <v>944</v>
      </c>
      <c r="E6" s="90" t="s">
        <v>947</v>
      </c>
      <c r="F6" s="21"/>
      <c r="G6" s="21"/>
      <c r="H6" s="21"/>
      <c r="I6" s="21"/>
      <c r="J6" s="21"/>
      <c r="K6" s="21"/>
    </row>
    <row r="7" ht="24.75" customHeight="1">
      <c r="A7" s="85">
        <v>5.0</v>
      </c>
      <c r="B7" s="258" t="s">
        <v>948</v>
      </c>
      <c r="C7" s="90" t="s">
        <v>946</v>
      </c>
      <c r="D7" s="90" t="s">
        <v>944</v>
      </c>
      <c r="E7" s="90" t="s">
        <v>900</v>
      </c>
      <c r="F7" s="21"/>
      <c r="G7" s="21"/>
      <c r="H7" s="21"/>
      <c r="I7" s="21"/>
      <c r="J7" s="21"/>
      <c r="K7" s="21"/>
    </row>
    <row r="8" ht="24.75" customHeight="1">
      <c r="A8" s="85">
        <v>6.0</v>
      </c>
      <c r="B8" s="258" t="s">
        <v>949</v>
      </c>
      <c r="C8" s="90" t="s">
        <v>946</v>
      </c>
      <c r="D8" s="90" t="s">
        <v>944</v>
      </c>
      <c r="E8" s="90" t="s">
        <v>900</v>
      </c>
      <c r="F8" s="21"/>
      <c r="G8" s="21"/>
      <c r="H8" s="21"/>
      <c r="I8" s="21"/>
      <c r="J8" s="21"/>
      <c r="K8" s="21"/>
    </row>
    <row r="9" ht="24.75" customHeight="1">
      <c r="A9" s="85">
        <v>7.0</v>
      </c>
      <c r="B9" s="258" t="s">
        <v>950</v>
      </c>
      <c r="C9" s="90" t="s">
        <v>939</v>
      </c>
      <c r="D9" s="90" t="s">
        <v>944</v>
      </c>
      <c r="E9" s="90" t="s">
        <v>900</v>
      </c>
      <c r="F9" s="21"/>
      <c r="G9" s="21"/>
      <c r="H9" s="21"/>
      <c r="I9" s="21"/>
      <c r="J9" s="21"/>
      <c r="K9" s="21"/>
    </row>
    <row r="10" ht="24.75" customHeight="1">
      <c r="A10" s="85">
        <v>8.0</v>
      </c>
      <c r="B10" s="258" t="s">
        <v>951</v>
      </c>
      <c r="C10" s="90" t="s">
        <v>939</v>
      </c>
      <c r="D10" s="90" t="s">
        <v>286</v>
      </c>
      <c r="E10" s="90" t="s">
        <v>900</v>
      </c>
      <c r="F10" s="21"/>
      <c r="G10" s="21"/>
      <c r="H10" s="21"/>
      <c r="I10" s="21"/>
      <c r="J10" s="21"/>
      <c r="K10" s="21"/>
    </row>
    <row r="11" ht="24.75" customHeight="1">
      <c r="A11" s="85">
        <v>9.0</v>
      </c>
      <c r="B11" s="258" t="s">
        <v>952</v>
      </c>
      <c r="C11" s="90" t="s">
        <v>939</v>
      </c>
      <c r="D11" s="90" t="s">
        <v>286</v>
      </c>
      <c r="E11" s="90" t="s">
        <v>900</v>
      </c>
      <c r="F11" s="21"/>
      <c r="G11" s="21"/>
      <c r="H11" s="21"/>
      <c r="I11" s="21"/>
      <c r="J11" s="21"/>
      <c r="K11" s="21"/>
    </row>
    <row r="12" ht="24.75" customHeight="1">
      <c r="A12" s="85">
        <v>10.0</v>
      </c>
      <c r="B12" s="258" t="s">
        <v>953</v>
      </c>
      <c r="C12" s="90" t="s">
        <v>939</v>
      </c>
      <c r="D12" s="90" t="s">
        <v>286</v>
      </c>
      <c r="E12" s="90" t="s">
        <v>954</v>
      </c>
      <c r="F12" s="21"/>
      <c r="G12" s="21"/>
      <c r="H12" s="21"/>
      <c r="I12" s="21"/>
      <c r="J12" s="21"/>
      <c r="K12" s="21"/>
    </row>
    <row r="13" ht="24.75" customHeight="1">
      <c r="A13" s="85">
        <v>11.0</v>
      </c>
      <c r="B13" s="258" t="s">
        <v>955</v>
      </c>
      <c r="C13" s="90" t="s">
        <v>939</v>
      </c>
      <c r="D13" s="90" t="s">
        <v>286</v>
      </c>
      <c r="E13" s="90" t="s">
        <v>954</v>
      </c>
      <c r="F13" s="21"/>
      <c r="G13" s="21"/>
      <c r="H13" s="21"/>
      <c r="I13" s="21"/>
      <c r="J13" s="21"/>
      <c r="K13" s="21"/>
    </row>
    <row r="14" ht="24.75" customHeight="1">
      <c r="A14" s="85">
        <v>12.0</v>
      </c>
      <c r="B14" s="258" t="s">
        <v>956</v>
      </c>
      <c r="C14" s="90" t="s">
        <v>939</v>
      </c>
      <c r="D14" s="90" t="s">
        <v>286</v>
      </c>
      <c r="E14" s="90" t="s">
        <v>957</v>
      </c>
      <c r="F14" s="21"/>
      <c r="G14" s="21"/>
      <c r="H14" s="21"/>
      <c r="I14" s="21"/>
      <c r="J14" s="21"/>
      <c r="K14" s="21"/>
    </row>
    <row r="15" ht="24.75" customHeight="1">
      <c r="A15" s="85">
        <v>13.0</v>
      </c>
      <c r="B15" s="258" t="s">
        <v>958</v>
      </c>
      <c r="C15" s="90" t="s">
        <v>939</v>
      </c>
      <c r="D15" s="90" t="s">
        <v>286</v>
      </c>
      <c r="E15" s="90" t="s">
        <v>900</v>
      </c>
      <c r="F15" s="21"/>
      <c r="G15" s="21"/>
      <c r="H15" s="21"/>
      <c r="I15" s="21"/>
      <c r="J15" s="21"/>
      <c r="K15" s="21"/>
    </row>
    <row r="16" ht="32.25" customHeight="1">
      <c r="A16" s="85">
        <v>14.0</v>
      </c>
      <c r="B16" s="258" t="s">
        <v>959</v>
      </c>
      <c r="C16" s="90" t="s">
        <v>939</v>
      </c>
      <c r="D16" s="90" t="s">
        <v>944</v>
      </c>
      <c r="E16" s="90" t="s">
        <v>947</v>
      </c>
      <c r="F16" s="21"/>
      <c r="G16" s="21"/>
      <c r="H16" s="21"/>
      <c r="I16" s="21"/>
      <c r="J16" s="21"/>
      <c r="K16" s="21"/>
    </row>
    <row r="17" ht="31.5" customHeight="1">
      <c r="A17" s="85">
        <v>15.0</v>
      </c>
      <c r="B17" s="258" t="s">
        <v>960</v>
      </c>
      <c r="C17" s="90" t="s">
        <v>939</v>
      </c>
      <c r="D17" s="90" t="s">
        <v>286</v>
      </c>
      <c r="E17" s="90" t="s">
        <v>900</v>
      </c>
      <c r="F17" s="21"/>
      <c r="G17" s="21"/>
      <c r="H17" s="21"/>
      <c r="I17" s="21"/>
      <c r="J17" s="21"/>
      <c r="K17" s="21"/>
    </row>
    <row r="18" ht="31.5" customHeight="1">
      <c r="A18" s="85">
        <v>16.0</v>
      </c>
      <c r="B18" s="258" t="s">
        <v>961</v>
      </c>
      <c r="C18" s="90" t="s">
        <v>939</v>
      </c>
      <c r="D18" s="90" t="s">
        <v>286</v>
      </c>
      <c r="E18" s="90" t="s">
        <v>962</v>
      </c>
      <c r="F18" s="21"/>
      <c r="G18" s="21"/>
      <c r="H18" s="21"/>
      <c r="I18" s="21"/>
      <c r="J18" s="21"/>
      <c r="K18" s="21"/>
    </row>
    <row r="19" ht="24.75" customHeight="1">
      <c r="A19" s="85">
        <v>17.0</v>
      </c>
      <c r="B19" s="258" t="s">
        <v>963</v>
      </c>
      <c r="C19" s="90" t="s">
        <v>286</v>
      </c>
      <c r="D19" s="90"/>
      <c r="E19" s="90" t="s">
        <v>962</v>
      </c>
      <c r="F19" s="21"/>
      <c r="G19" s="21"/>
      <c r="H19" s="21"/>
      <c r="I19" s="21"/>
      <c r="J19" s="21"/>
      <c r="K19" s="21"/>
    </row>
    <row r="20" ht="24.75" customHeight="1">
      <c r="A20" s="85">
        <v>18.0</v>
      </c>
      <c r="B20" s="258" t="s">
        <v>964</v>
      </c>
      <c r="C20" s="90" t="s">
        <v>939</v>
      </c>
      <c r="D20" s="90" t="s">
        <v>286</v>
      </c>
      <c r="E20" s="90" t="s">
        <v>900</v>
      </c>
      <c r="F20" s="21"/>
      <c r="G20" s="21"/>
      <c r="H20" s="21"/>
      <c r="I20" s="21"/>
      <c r="J20" s="21"/>
      <c r="K20" s="21"/>
    </row>
    <row r="21" ht="24.75" customHeight="1">
      <c r="A21" s="85">
        <v>19.0</v>
      </c>
      <c r="B21" s="258" t="s">
        <v>965</v>
      </c>
      <c r="C21" s="90" t="s">
        <v>286</v>
      </c>
      <c r="D21" s="90"/>
      <c r="E21" s="90" t="s">
        <v>966</v>
      </c>
      <c r="F21" s="21"/>
      <c r="G21" s="21"/>
      <c r="H21" s="21"/>
      <c r="I21" s="21"/>
      <c r="J21" s="21"/>
      <c r="K21" s="21"/>
    </row>
    <row r="22" ht="24.75" customHeight="1">
      <c r="A22" s="85">
        <v>20.0</v>
      </c>
      <c r="B22" s="258" t="s">
        <v>967</v>
      </c>
      <c r="C22" s="90" t="s">
        <v>286</v>
      </c>
      <c r="D22" s="90"/>
      <c r="E22" s="90" t="s">
        <v>900</v>
      </c>
      <c r="F22" s="21"/>
      <c r="G22" s="21"/>
      <c r="H22" s="21"/>
      <c r="I22" s="21"/>
      <c r="J22" s="21"/>
      <c r="K22" s="21"/>
    </row>
    <row r="23" ht="24.75" customHeight="1">
      <c r="A23" s="85">
        <v>21.0</v>
      </c>
      <c r="B23" s="258" t="s">
        <v>968</v>
      </c>
      <c r="C23" s="90" t="s">
        <v>286</v>
      </c>
      <c r="D23" s="90"/>
      <c r="E23" s="90" t="s">
        <v>900</v>
      </c>
      <c r="F23" s="21"/>
      <c r="G23" s="21"/>
      <c r="H23" s="21"/>
      <c r="I23" s="21"/>
      <c r="J23" s="21"/>
      <c r="K23" s="21"/>
    </row>
    <row r="24" ht="24.75" customHeight="1">
      <c r="A24" s="85">
        <v>22.0</v>
      </c>
      <c r="B24" s="258" t="s">
        <v>969</v>
      </c>
      <c r="C24" s="90" t="s">
        <v>939</v>
      </c>
      <c r="D24" s="90" t="s">
        <v>286</v>
      </c>
      <c r="E24" s="90" t="s">
        <v>900</v>
      </c>
      <c r="F24" s="21"/>
      <c r="G24" s="21"/>
      <c r="H24" s="21"/>
      <c r="I24" s="21"/>
      <c r="J24" s="21"/>
      <c r="K24" s="21"/>
    </row>
    <row r="25" ht="24.75" customHeight="1">
      <c r="A25" s="85">
        <v>23.0</v>
      </c>
      <c r="B25" s="259" t="s">
        <v>970</v>
      </c>
      <c r="C25" s="90" t="s">
        <v>939</v>
      </c>
      <c r="D25" s="90" t="s">
        <v>286</v>
      </c>
      <c r="E25" s="90" t="s">
        <v>954</v>
      </c>
      <c r="F25" s="21"/>
      <c r="G25" s="21"/>
      <c r="H25" s="21"/>
      <c r="I25" s="21"/>
      <c r="J25" s="21"/>
      <c r="K25" s="21"/>
    </row>
    <row r="26" ht="24.75" customHeight="1">
      <c r="A26" s="85">
        <v>24.0</v>
      </c>
      <c r="B26" s="258" t="s">
        <v>971</v>
      </c>
      <c r="C26" s="90" t="s">
        <v>286</v>
      </c>
      <c r="D26" s="90"/>
      <c r="E26" s="90" t="s">
        <v>900</v>
      </c>
      <c r="F26" s="21"/>
      <c r="G26" s="21"/>
      <c r="H26" s="21"/>
      <c r="I26" s="21"/>
      <c r="J26" s="21"/>
      <c r="K26" s="21"/>
    </row>
    <row r="27" ht="24.75" customHeight="1">
      <c r="A27" s="85">
        <v>25.0</v>
      </c>
      <c r="B27" s="258" t="s">
        <v>972</v>
      </c>
      <c r="C27" s="90" t="s">
        <v>939</v>
      </c>
      <c r="D27" s="90" t="s">
        <v>286</v>
      </c>
      <c r="E27" s="90" t="s">
        <v>900</v>
      </c>
      <c r="F27" s="21"/>
      <c r="G27" s="21"/>
      <c r="H27" s="21"/>
      <c r="I27" s="21"/>
      <c r="J27" s="21"/>
      <c r="K27" s="21"/>
    </row>
    <row r="28" ht="24.75" customHeight="1">
      <c r="A28" s="85">
        <v>26.0</v>
      </c>
      <c r="B28" s="258" t="s">
        <v>973</v>
      </c>
      <c r="C28" s="90" t="s">
        <v>939</v>
      </c>
      <c r="D28" s="90" t="s">
        <v>286</v>
      </c>
      <c r="E28" s="90" t="s">
        <v>900</v>
      </c>
      <c r="F28" s="21"/>
      <c r="G28" s="21"/>
      <c r="H28" s="21"/>
      <c r="I28" s="21"/>
      <c r="J28" s="21"/>
      <c r="K28" s="21"/>
    </row>
    <row r="29" ht="13.5" customHeight="1">
      <c r="A29" s="85">
        <v>27.0</v>
      </c>
      <c r="B29" s="258" t="s">
        <v>974</v>
      </c>
      <c r="C29" s="90" t="s">
        <v>286</v>
      </c>
      <c r="D29" s="79"/>
      <c r="E29" s="90" t="s">
        <v>900</v>
      </c>
      <c r="F29" s="21"/>
      <c r="G29" s="21"/>
      <c r="H29" s="21"/>
      <c r="I29" s="21"/>
      <c r="J29" s="21"/>
      <c r="K29" s="21"/>
    </row>
    <row r="30" ht="13.5" customHeight="1">
      <c r="A30" s="85">
        <v>28.0</v>
      </c>
      <c r="B30" s="260" t="s">
        <v>975</v>
      </c>
      <c r="C30" s="90" t="s">
        <v>939</v>
      </c>
      <c r="D30" s="90" t="s">
        <v>944</v>
      </c>
      <c r="E30" s="90" t="s">
        <v>900</v>
      </c>
      <c r="F30" s="21"/>
      <c r="G30" s="21"/>
      <c r="H30" s="21"/>
      <c r="I30" s="21"/>
      <c r="J30" s="21"/>
      <c r="K30" s="21"/>
    </row>
    <row r="31" ht="13.5" customHeight="1">
      <c r="A31" s="85">
        <v>29.0</v>
      </c>
      <c r="B31" s="260" t="s">
        <v>976</v>
      </c>
      <c r="C31" s="90" t="s">
        <v>939</v>
      </c>
      <c r="D31" s="90" t="s">
        <v>286</v>
      </c>
      <c r="E31" s="90" t="s">
        <v>900</v>
      </c>
      <c r="F31" s="21"/>
      <c r="G31" s="21"/>
      <c r="H31" s="21"/>
      <c r="I31" s="21"/>
      <c r="J31" s="21"/>
      <c r="K31" s="21"/>
    </row>
    <row r="32" ht="13.5" customHeight="1">
      <c r="A32" s="85">
        <v>30.0</v>
      </c>
      <c r="B32" s="260" t="s">
        <v>977</v>
      </c>
      <c r="C32" s="90" t="s">
        <v>939</v>
      </c>
      <c r="D32" s="90" t="s">
        <v>286</v>
      </c>
      <c r="E32" s="90" t="s">
        <v>900</v>
      </c>
      <c r="F32" s="21"/>
      <c r="G32" s="21"/>
      <c r="H32" s="21"/>
      <c r="I32" s="21"/>
      <c r="J32" s="21"/>
      <c r="K32" s="21"/>
    </row>
    <row r="33" ht="13.5" customHeight="1">
      <c r="A33" s="85">
        <v>31.0</v>
      </c>
      <c r="B33" s="260" t="s">
        <v>978</v>
      </c>
      <c r="C33" s="90" t="s">
        <v>939</v>
      </c>
      <c r="D33" s="90" t="s">
        <v>286</v>
      </c>
      <c r="E33" s="90" t="s">
        <v>954</v>
      </c>
      <c r="F33" s="21"/>
      <c r="G33" s="21"/>
      <c r="H33" s="21"/>
      <c r="I33" s="21"/>
      <c r="J33" s="21"/>
      <c r="K33" s="21"/>
    </row>
    <row r="34" ht="13.5" customHeight="1">
      <c r="A34" s="85">
        <v>32.0</v>
      </c>
      <c r="B34" s="260" t="s">
        <v>979</v>
      </c>
      <c r="C34" s="90" t="s">
        <v>939</v>
      </c>
      <c r="D34" s="92" t="s">
        <v>940</v>
      </c>
      <c r="E34" s="90" t="s">
        <v>954</v>
      </c>
      <c r="F34" s="21"/>
      <c r="G34" s="21"/>
      <c r="H34" s="21"/>
      <c r="I34" s="21"/>
      <c r="J34" s="21"/>
      <c r="K34" s="21"/>
    </row>
    <row r="35" ht="13.5" customHeight="1">
      <c r="A35" s="85">
        <v>33.0</v>
      </c>
      <c r="B35" s="260" t="s">
        <v>980</v>
      </c>
      <c r="C35" s="90" t="s">
        <v>939</v>
      </c>
      <c r="D35" s="90" t="s">
        <v>286</v>
      </c>
      <c r="E35" s="90" t="s">
        <v>957</v>
      </c>
      <c r="F35" s="21"/>
      <c r="G35" s="21"/>
      <c r="H35" s="21"/>
      <c r="I35" s="21"/>
      <c r="J35" s="21"/>
      <c r="K35" s="21"/>
    </row>
    <row r="36" ht="13.5" customHeight="1">
      <c r="A36" s="85">
        <v>34.0</v>
      </c>
      <c r="B36" s="260" t="s">
        <v>981</v>
      </c>
      <c r="C36" s="90" t="s">
        <v>939</v>
      </c>
      <c r="D36" s="90" t="s">
        <v>286</v>
      </c>
      <c r="E36" s="90" t="s">
        <v>900</v>
      </c>
      <c r="F36" s="21"/>
      <c r="G36" s="21"/>
      <c r="H36" s="21"/>
      <c r="I36" s="21"/>
      <c r="J36" s="21"/>
      <c r="K36" s="21"/>
    </row>
    <row r="37" ht="13.5" customHeight="1">
      <c r="A37" s="85">
        <v>35.0</v>
      </c>
      <c r="B37" s="260" t="s">
        <v>982</v>
      </c>
      <c r="C37" s="90" t="s">
        <v>939</v>
      </c>
      <c r="D37" s="90" t="s">
        <v>944</v>
      </c>
      <c r="E37" s="90" t="s">
        <v>947</v>
      </c>
      <c r="F37" s="21"/>
      <c r="G37" s="21"/>
      <c r="H37" s="21"/>
      <c r="I37" s="21"/>
      <c r="J37" s="21"/>
      <c r="K37" s="21"/>
    </row>
    <row r="38" ht="13.5" customHeight="1">
      <c r="A38" s="85">
        <v>36.0</v>
      </c>
      <c r="B38" s="260" t="s">
        <v>983</v>
      </c>
      <c r="C38" s="90" t="s">
        <v>939</v>
      </c>
      <c r="D38" s="90" t="s">
        <v>286</v>
      </c>
      <c r="E38" s="90" t="s">
        <v>900</v>
      </c>
      <c r="F38" s="21"/>
      <c r="G38" s="21"/>
      <c r="H38" s="21"/>
      <c r="I38" s="21"/>
      <c r="J38" s="21"/>
      <c r="K38" s="21"/>
    </row>
    <row r="39" ht="13.5" customHeight="1">
      <c r="A39" s="85">
        <v>37.0</v>
      </c>
      <c r="B39" s="260" t="s">
        <v>984</v>
      </c>
      <c r="C39" s="90" t="s">
        <v>939</v>
      </c>
      <c r="D39" s="90" t="s">
        <v>286</v>
      </c>
      <c r="E39" s="90" t="s">
        <v>962</v>
      </c>
      <c r="F39" s="21"/>
      <c r="G39" s="21"/>
      <c r="H39" s="21"/>
      <c r="I39" s="21"/>
      <c r="J39" s="21"/>
      <c r="K39" s="21"/>
    </row>
    <row r="40" ht="13.5" customHeight="1">
      <c r="A40" s="85">
        <v>38.0</v>
      </c>
      <c r="B40" s="260" t="s">
        <v>985</v>
      </c>
      <c r="C40" s="90" t="s">
        <v>286</v>
      </c>
      <c r="D40" s="90" t="s">
        <v>286</v>
      </c>
      <c r="E40" s="90" t="s">
        <v>962</v>
      </c>
      <c r="F40" s="21"/>
      <c r="G40" s="21"/>
      <c r="H40" s="21"/>
      <c r="I40" s="21"/>
      <c r="J40" s="21"/>
      <c r="K40" s="21"/>
    </row>
    <row r="41" ht="13.5" customHeight="1">
      <c r="A41" s="85">
        <v>39.0</v>
      </c>
      <c r="B41" s="260" t="s">
        <v>986</v>
      </c>
      <c r="C41" s="90" t="s">
        <v>939</v>
      </c>
      <c r="D41" s="90" t="s">
        <v>286</v>
      </c>
      <c r="E41" s="90" t="s">
        <v>900</v>
      </c>
      <c r="F41" s="21"/>
      <c r="G41" s="21"/>
      <c r="H41" s="21"/>
      <c r="I41" s="21"/>
      <c r="J41" s="21"/>
      <c r="K41" s="21"/>
    </row>
    <row r="42" ht="13.5" customHeight="1">
      <c r="A42" s="85">
        <v>40.0</v>
      </c>
      <c r="B42" s="258" t="s">
        <v>987</v>
      </c>
      <c r="C42" s="90" t="s">
        <v>286</v>
      </c>
      <c r="D42" s="90" t="s">
        <v>286</v>
      </c>
      <c r="E42" s="90" t="s">
        <v>966</v>
      </c>
      <c r="F42" s="21"/>
      <c r="G42" s="21"/>
      <c r="H42" s="21"/>
      <c r="I42" s="21"/>
      <c r="J42" s="21"/>
      <c r="K42" s="21"/>
    </row>
    <row r="43" ht="13.5" customHeight="1">
      <c r="A43" s="85">
        <v>41.0</v>
      </c>
      <c r="B43" s="258" t="s">
        <v>988</v>
      </c>
      <c r="C43" s="90" t="s">
        <v>286</v>
      </c>
      <c r="D43" s="90" t="s">
        <v>286</v>
      </c>
      <c r="E43" s="90" t="s">
        <v>900</v>
      </c>
      <c r="F43" s="21"/>
      <c r="G43" s="21"/>
      <c r="H43" s="21"/>
      <c r="I43" s="21"/>
      <c r="J43" s="21"/>
      <c r="K43" s="21"/>
    </row>
    <row r="44" ht="13.5" customHeight="1">
      <c r="A44" s="85">
        <v>42.0</v>
      </c>
      <c r="B44" s="258" t="s">
        <v>989</v>
      </c>
      <c r="C44" s="90" t="s">
        <v>286</v>
      </c>
      <c r="D44" s="90" t="s">
        <v>286</v>
      </c>
      <c r="E44" s="90" t="s">
        <v>900</v>
      </c>
      <c r="F44" s="21"/>
      <c r="G44" s="21"/>
      <c r="H44" s="21"/>
      <c r="I44" s="21"/>
      <c r="J44" s="21"/>
      <c r="K44" s="21"/>
    </row>
    <row r="45" ht="13.5" customHeight="1">
      <c r="A45" s="85">
        <v>43.0</v>
      </c>
      <c r="B45" s="258" t="s">
        <v>990</v>
      </c>
      <c r="C45" s="90" t="s">
        <v>939</v>
      </c>
      <c r="D45" s="90" t="s">
        <v>286</v>
      </c>
      <c r="E45" s="90" t="s">
        <v>900</v>
      </c>
      <c r="F45" s="21"/>
      <c r="G45" s="21"/>
      <c r="H45" s="21"/>
      <c r="I45" s="21"/>
      <c r="J45" s="21"/>
      <c r="K45" s="21"/>
    </row>
    <row r="46" ht="13.5" customHeight="1">
      <c r="A46" s="85">
        <v>44.0</v>
      </c>
      <c r="B46" s="259" t="s">
        <v>991</v>
      </c>
      <c r="C46" s="90" t="s">
        <v>939</v>
      </c>
      <c r="D46" s="90" t="s">
        <v>286</v>
      </c>
      <c r="E46" s="90" t="s">
        <v>954</v>
      </c>
      <c r="F46" s="21"/>
      <c r="G46" s="21"/>
      <c r="H46" s="21"/>
      <c r="I46" s="21"/>
      <c r="J46" s="21"/>
      <c r="K46" s="21"/>
    </row>
    <row r="47" ht="13.5" customHeight="1">
      <c r="A47" s="85">
        <v>45.0</v>
      </c>
      <c r="B47" s="259" t="s">
        <v>992</v>
      </c>
      <c r="C47" s="90" t="s">
        <v>286</v>
      </c>
      <c r="D47" s="90" t="s">
        <v>286</v>
      </c>
      <c r="E47" s="90" t="s">
        <v>900</v>
      </c>
      <c r="F47" s="21"/>
      <c r="G47" s="21"/>
      <c r="H47" s="21"/>
      <c r="I47" s="21"/>
      <c r="J47" s="21"/>
      <c r="K47" s="21"/>
    </row>
    <row r="48" ht="13.5" customHeight="1">
      <c r="A48" s="85">
        <v>46.0</v>
      </c>
      <c r="B48" s="260" t="s">
        <v>993</v>
      </c>
      <c r="C48" s="90" t="s">
        <v>939</v>
      </c>
      <c r="D48" s="92" t="s">
        <v>940</v>
      </c>
      <c r="E48" s="90" t="s">
        <v>900</v>
      </c>
      <c r="F48" s="21"/>
      <c r="G48" s="21"/>
      <c r="H48" s="21"/>
      <c r="I48" s="21"/>
      <c r="J48" s="21"/>
      <c r="K48" s="21"/>
    </row>
    <row r="49" ht="13.5" customHeight="1">
      <c r="A49" s="85">
        <v>47.0</v>
      </c>
      <c r="B49" s="260" t="s">
        <v>994</v>
      </c>
      <c r="C49" s="90" t="s">
        <v>939</v>
      </c>
      <c r="D49" s="92" t="s">
        <v>940</v>
      </c>
      <c r="E49" s="90" t="s">
        <v>900</v>
      </c>
      <c r="F49" s="21"/>
      <c r="G49" s="21"/>
      <c r="H49" s="21"/>
      <c r="I49" s="21"/>
      <c r="J49" s="21"/>
      <c r="K49" s="21"/>
    </row>
    <row r="50" ht="13.5" customHeight="1">
      <c r="A50" s="85">
        <v>48.0</v>
      </c>
      <c r="B50" s="260" t="s">
        <v>995</v>
      </c>
      <c r="C50" s="90" t="s">
        <v>939</v>
      </c>
      <c r="D50" s="90" t="s">
        <v>944</v>
      </c>
      <c r="E50" s="90" t="s">
        <v>900</v>
      </c>
      <c r="F50" s="21"/>
      <c r="G50" s="21"/>
      <c r="H50" s="21"/>
      <c r="I50" s="21"/>
      <c r="J50" s="21"/>
      <c r="K50" s="21"/>
    </row>
    <row r="51" ht="13.5" customHeight="1">
      <c r="A51" s="85">
        <v>49.0</v>
      </c>
      <c r="B51" s="260" t="s">
        <v>996</v>
      </c>
      <c r="C51" s="90" t="s">
        <v>939</v>
      </c>
      <c r="D51" s="90" t="s">
        <v>944</v>
      </c>
      <c r="E51" s="90" t="s">
        <v>900</v>
      </c>
      <c r="F51" s="21"/>
      <c r="G51" s="21"/>
      <c r="H51" s="21"/>
      <c r="I51" s="21"/>
      <c r="J51" s="21"/>
      <c r="K51" s="21"/>
    </row>
    <row r="52" ht="13.5" customHeight="1">
      <c r="A52" s="85">
        <v>50.0</v>
      </c>
      <c r="B52" s="260" t="s">
        <v>997</v>
      </c>
      <c r="C52" s="90" t="s">
        <v>939</v>
      </c>
      <c r="D52" s="90" t="s">
        <v>944</v>
      </c>
      <c r="E52" s="90" t="s">
        <v>900</v>
      </c>
      <c r="F52" s="21"/>
      <c r="G52" s="21"/>
      <c r="H52" s="21"/>
      <c r="I52" s="21"/>
      <c r="J52" s="21"/>
      <c r="K52" s="21"/>
    </row>
    <row r="53" ht="13.5" customHeight="1">
      <c r="A53" s="85">
        <v>51.0</v>
      </c>
      <c r="B53" s="259" t="s">
        <v>998</v>
      </c>
      <c r="C53" s="90" t="s">
        <v>939</v>
      </c>
      <c r="D53" s="90" t="s">
        <v>944</v>
      </c>
      <c r="E53" s="90" t="s">
        <v>947</v>
      </c>
      <c r="F53" s="21"/>
      <c r="G53" s="21"/>
      <c r="H53" s="21"/>
      <c r="I53" s="21"/>
      <c r="J53" s="21"/>
      <c r="K53" s="21"/>
    </row>
    <row r="54" ht="13.5" customHeight="1">
      <c r="A54" s="85">
        <v>52.0</v>
      </c>
      <c r="B54" s="258" t="s">
        <v>999</v>
      </c>
      <c r="C54" s="90" t="s">
        <v>286</v>
      </c>
      <c r="D54" s="90" t="s">
        <v>286</v>
      </c>
      <c r="E54" s="90" t="s">
        <v>900</v>
      </c>
      <c r="F54" s="21"/>
      <c r="G54" s="21"/>
      <c r="H54" s="21"/>
      <c r="I54" s="21"/>
      <c r="J54" s="21"/>
      <c r="K54" s="21"/>
    </row>
    <row r="55" ht="13.5" customHeight="1">
      <c r="A55" s="85">
        <v>53.0</v>
      </c>
      <c r="B55" s="258" t="s">
        <v>1000</v>
      </c>
      <c r="C55" s="90" t="s">
        <v>286</v>
      </c>
      <c r="D55" s="90" t="s">
        <v>286</v>
      </c>
      <c r="E55" s="90" t="s">
        <v>900</v>
      </c>
      <c r="F55" s="21"/>
      <c r="G55" s="21"/>
      <c r="H55" s="21"/>
      <c r="I55" s="21"/>
      <c r="J55" s="21"/>
      <c r="K55" s="21"/>
    </row>
    <row r="56" ht="13.5" customHeight="1">
      <c r="A56" s="85">
        <v>54.0</v>
      </c>
      <c r="B56" s="258" t="s">
        <v>1001</v>
      </c>
      <c r="C56" s="90" t="s">
        <v>286</v>
      </c>
      <c r="D56" s="90" t="s">
        <v>286</v>
      </c>
      <c r="E56" s="90" t="s">
        <v>900</v>
      </c>
      <c r="F56" s="21"/>
      <c r="G56" s="21"/>
      <c r="H56" s="21"/>
      <c r="I56" s="21"/>
      <c r="J56" s="21"/>
      <c r="K56" s="21"/>
    </row>
    <row r="57" ht="13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ht="13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ht="13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ht="13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ht="13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</row>
    <row r="62" ht="13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ht="13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ht="13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ht="13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</row>
    <row r="66" ht="13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 ht="13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</row>
    <row r="68" ht="13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</row>
    <row r="69" ht="13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</row>
    <row r="70" ht="13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 ht="13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ht="13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ht="13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ht="13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ht="13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ht="13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ht="13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ht="13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ht="13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</row>
    <row r="80" ht="13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</row>
    <row r="81" ht="13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 ht="13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</row>
    <row r="83" ht="13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 ht="13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</row>
    <row r="85" ht="13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</row>
    <row r="86" ht="13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</row>
    <row r="87" ht="13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</row>
    <row r="88" ht="13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</row>
    <row r="89" ht="13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</row>
    <row r="90" ht="13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</row>
    <row r="91" ht="13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</row>
    <row r="92" ht="13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</row>
    <row r="93" ht="13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</row>
    <row r="94" ht="13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</row>
    <row r="95" ht="13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</row>
    <row r="96" ht="13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</row>
    <row r="97" ht="13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</row>
    <row r="98" ht="13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</row>
    <row r="99" ht="13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</row>
    <row r="100" ht="13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</row>
    <row r="101" ht="13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</row>
    <row r="102" ht="13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</row>
    <row r="103" ht="13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</row>
    <row r="104" ht="13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</row>
    <row r="105" ht="13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</row>
    <row r="106" ht="13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</row>
    <row r="107" ht="13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</row>
    <row r="108" ht="13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</row>
    <row r="109" ht="13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</row>
    <row r="110" ht="13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</row>
    <row r="111" ht="13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</row>
    <row r="112" ht="13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</row>
    <row r="113" ht="13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</row>
    <row r="114" ht="13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</row>
    <row r="115" ht="13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</row>
    <row r="116" ht="13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</row>
    <row r="117" ht="13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</row>
    <row r="118" ht="13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</row>
    <row r="119" ht="13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</row>
    <row r="120" ht="13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</row>
    <row r="121" ht="13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</row>
    <row r="122" ht="13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</row>
    <row r="123" ht="13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</row>
    <row r="124" ht="13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</row>
    <row r="125" ht="13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</row>
    <row r="126" ht="13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</row>
    <row r="127" ht="13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</row>
    <row r="128" ht="13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</row>
    <row r="129" ht="13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</row>
    <row r="130" ht="13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</row>
    <row r="131" ht="13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ht="13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</row>
    <row r="133" ht="13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</row>
    <row r="134" ht="13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</row>
    <row r="135" ht="13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</row>
    <row r="136" ht="13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</row>
    <row r="137" ht="13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</row>
    <row r="138" ht="13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</row>
    <row r="139" ht="13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</row>
    <row r="140" ht="13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</row>
    <row r="141" ht="13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</row>
    <row r="142" ht="13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</row>
    <row r="143" ht="13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</row>
    <row r="144" ht="13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</row>
    <row r="145" ht="13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</row>
    <row r="146" ht="13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</row>
    <row r="147" ht="13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</row>
    <row r="148" ht="13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</row>
    <row r="149" ht="13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</row>
    <row r="150" ht="13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</row>
    <row r="151" ht="13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</row>
    <row r="152" ht="13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</row>
    <row r="153" ht="13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</row>
    <row r="154" ht="13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</row>
    <row r="155" ht="13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</row>
    <row r="156" ht="13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</row>
    <row r="157" ht="13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</row>
    <row r="158" ht="13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</row>
    <row r="159" ht="13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</row>
    <row r="160" ht="13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</row>
    <row r="161" ht="13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</row>
    <row r="162" ht="13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</row>
    <row r="163" ht="13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</row>
    <row r="164" ht="13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</row>
    <row r="165" ht="13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</row>
    <row r="166" ht="13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</row>
    <row r="167" ht="13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</row>
    <row r="168" ht="13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</row>
    <row r="169" ht="13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</row>
    <row r="170" ht="13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</row>
    <row r="171" ht="13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</row>
    <row r="172" ht="13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</row>
    <row r="173" ht="13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</row>
    <row r="174" ht="13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</row>
    <row r="175" ht="13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</row>
    <row r="176" ht="13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</row>
    <row r="177" ht="13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</row>
    <row r="178" ht="13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</row>
    <row r="179" ht="13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</row>
    <row r="180" ht="13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</row>
    <row r="181" ht="13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</row>
    <row r="182" ht="13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</row>
    <row r="183" ht="13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</row>
    <row r="184" ht="13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</row>
    <row r="185" ht="13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</row>
    <row r="186" ht="13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</row>
    <row r="187" ht="13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</row>
    <row r="188" ht="13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</row>
    <row r="189" ht="13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</row>
    <row r="190" ht="13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</row>
    <row r="191" ht="13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</row>
    <row r="192" ht="13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</row>
    <row r="193" ht="13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</row>
    <row r="194" ht="13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</row>
    <row r="195" ht="13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</row>
    <row r="196" ht="13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</row>
    <row r="197" ht="13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</row>
    <row r="198" ht="13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</row>
    <row r="199" ht="13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</row>
    <row r="200" ht="13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</row>
    <row r="201" ht="13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</row>
    <row r="202" ht="13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</row>
    <row r="203" ht="13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</row>
    <row r="204" ht="13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</row>
    <row r="205" ht="13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</row>
    <row r="206" ht="13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</row>
    <row r="207" ht="13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</row>
    <row r="208" ht="13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</row>
    <row r="209" ht="13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</row>
    <row r="210" ht="13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</row>
    <row r="211" ht="13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</row>
    <row r="212" ht="13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</row>
    <row r="213" ht="13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</row>
    <row r="214" ht="13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</row>
    <row r="215" ht="13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</row>
    <row r="216" ht="13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</row>
    <row r="217" ht="13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</row>
    <row r="218" ht="13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</row>
    <row r="219" ht="13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</row>
    <row r="220" ht="13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</row>
    <row r="221" ht="13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</row>
    <row r="222" ht="13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</row>
    <row r="223" ht="13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</row>
    <row r="224" ht="13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</row>
    <row r="225" ht="13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</row>
    <row r="226" ht="13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</row>
    <row r="227" ht="13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</row>
    <row r="228" ht="13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</row>
    <row r="229" ht="13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</row>
    <row r="230" ht="13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</row>
    <row r="231" ht="13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</row>
    <row r="232" ht="13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</row>
    <row r="233" ht="13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</row>
    <row r="234" ht="13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</row>
    <row r="235" ht="13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</row>
    <row r="236" ht="13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</row>
    <row r="237" ht="13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</row>
    <row r="238" ht="13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</row>
    <row r="239" ht="13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</row>
    <row r="240" ht="13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</row>
    <row r="241" ht="13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</row>
    <row r="242" ht="13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</row>
    <row r="243" ht="13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</row>
    <row r="244" ht="13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</row>
    <row r="245" ht="13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</row>
    <row r="246" ht="13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</row>
    <row r="247" ht="13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</row>
    <row r="248" ht="13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</row>
    <row r="249" ht="13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</row>
    <row r="250" ht="13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</row>
    <row r="251" ht="13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</row>
    <row r="252" ht="13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</row>
    <row r="253" ht="13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</row>
    <row r="254" ht="13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</row>
    <row r="255" ht="13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</row>
    <row r="256" ht="13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